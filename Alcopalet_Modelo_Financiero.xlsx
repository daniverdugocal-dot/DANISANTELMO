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Datos" sheetId="2" state="visible" r:id="rId2"/>
    <sheet name="PyG2025" sheetId="3" state="visible" r:id="rId3"/>
    <sheet name="Lineas" sheetId="4" state="visible" r:id="rId4"/>
    <sheet name="Escandallo" sheetId="5" state="visible" r:id="rId5"/>
    <sheet name="Capacidad" sheetId="6" state="visible" r:id="rId6"/>
    <sheet name="Persan" sheetId="7" state="visible" r:id="rId7"/>
    <sheet name="Robot" sheetId="8" state="visible" r:id="rId8"/>
    <sheet name="Escenarios" sheetId="9" state="visible" r:id="rId9"/>
    <sheet name="Sensibilid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#,##0 &quot;€&quot;;(#,##0) &quot;€&quot;;&quot;-&quot;"/>
    <numFmt numFmtId="166" formatCode="0.0%;(0.0%);&quot;-&quot;"/>
    <numFmt numFmtId="167" formatCode="#,##0.00 &quot;€&quot;;(#,##0.00) &quot;€&quot;;&quot;-&quot;"/>
    <numFmt numFmtId="168" formatCode="#,##0.00;(#,##0.00);&quot;-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C00000"/>
      <sz val="11"/>
    </font>
    <font>
      <name val="Arial"/>
      <b val="1"/>
      <i val="1"/>
      <color rgb="00C00000"/>
      <sz val="9"/>
    </font>
    <font>
      <name val="Arial"/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3" borderId="0" pivotButton="0" quotePrefix="0" xfId="0"/>
    <xf numFmtId="167" fontId="12" fillId="0" borderId="0" pivotButton="0" quotePrefix="0" xfId="0"/>
    <xf numFmtId="0" fontId="6" fillId="0" borderId="0" pivotButton="0" quotePrefix="0" xfId="0"/>
    <xf numFmtId="165" fontId="12" fillId="0" borderId="0" pivotButton="0" quotePrefix="0" xfId="0"/>
    <xf numFmtId="164" fontId="12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5" fontId="4" fillId="0" borderId="0" pivotButton="0" quotePrefix="0" xfId="0"/>
    <xf numFmtId="168" fontId="5" fillId="0" borderId="0" pivotButton="0" quotePrefix="0" xfId="0"/>
    <xf numFmtId="168" fontId="4" fillId="0" borderId="0" pivotButton="0" quotePrefix="0" xfId="0"/>
    <xf numFmtId="166" fontId="4" fillId="3" borderId="0" pivotButton="0" quotePrefix="0" xfId="0"/>
    <xf numFmtId="167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0" pivotButton="0" quotePrefix="0" xfId="0"/>
    <xf numFmtId="165" fontId="8" fillId="5" borderId="0" pivotButton="0" quotePrefix="0" xfId="0"/>
    <xf numFmtId="166" fontId="4" fillId="5" borderId="0" pivotButton="0" quotePrefix="0" xfId="0"/>
    <xf numFmtId="0" fontId="0" fillId="5" borderId="0" pivotButton="0" quotePrefix="0" xfId="0"/>
    <xf numFmtId="166" fontId="4" fillId="0" borderId="0" pivotButton="0" quotePrefix="0" xfId="0"/>
    <xf numFmtId="165" fontId="5" fillId="5" borderId="0" pivotButton="0" quotePrefix="0" xfId="0"/>
    <xf numFmtId="165" fontId="4" fillId="5" borderId="0" pivotButton="0" quotePrefix="0" xfId="0"/>
    <xf numFmtId="165" fontId="9" fillId="0" borderId="0" pivotButton="0" quotePrefix="0" xfId="0"/>
    <xf numFmtId="0" fontId="8" fillId="6" borderId="0" pivotButton="0" quotePrefix="0" xfId="0"/>
    <xf numFmtId="165" fontId="8" fillId="6" borderId="0" pivotButton="0" quotePrefix="0" xfId="0"/>
    <xf numFmtId="0" fontId="0" fillId="6" borderId="0" pivotButton="0" quotePrefix="0" xfId="0"/>
    <xf numFmtId="0" fontId="6" fillId="6" borderId="0" pivotButton="0" quotePrefix="0" xfId="0"/>
    <xf numFmtId="165" fontId="8" fillId="0" borderId="0" pivotButton="0" quotePrefix="0" xfId="0"/>
    <xf numFmtId="164" fontId="8" fillId="0" borderId="0" pivotButton="0" quotePrefix="0" xfId="0"/>
    <xf numFmtId="167" fontId="4" fillId="0" borderId="0" pivotButton="0" quotePrefix="0" xfId="0"/>
    <xf numFmtId="167" fontId="8" fillId="5" borderId="0" pivotButton="0" quotePrefix="0" xfId="0"/>
    <xf numFmtId="0" fontId="6" fillId="5" borderId="0" pivotButton="0" quotePrefix="0" xfId="0"/>
    <xf numFmtId="167" fontId="10" fillId="6" borderId="0" pivotButton="0" quotePrefix="0" xfId="0"/>
    <xf numFmtId="0" fontId="11" fillId="0" borderId="0" pivotButton="0" quotePrefix="0" xfId="0"/>
    <xf numFmtId="164" fontId="9" fillId="0" borderId="0" pivotButton="0" quotePrefix="0" xfId="0"/>
    <xf numFmtId="164" fontId="8" fillId="5" borderId="0" pivotButton="0" quotePrefix="0" xfId="0"/>
    <xf numFmtId="166" fontId="8" fillId="0" borderId="0" pivotButton="0" quotePrefix="0" xfId="0"/>
    <xf numFmtId="164" fontId="10" fillId="0" borderId="0" pivotButton="0" quotePrefix="0" xfId="0"/>
    <xf numFmtId="0" fontId="8" fillId="0" borderId="0" applyAlignment="1" pivotButton="0" quotePrefix="0" xfId="0">
      <alignment horizontal="center"/>
    </xf>
    <xf numFmtId="168" fontId="8" fillId="0" borderId="0" pivotButton="0" quotePrefix="0" xfId="0"/>
    <xf numFmtId="0" fontId="10" fillId="6" borderId="0" pivotButton="0" quotePrefix="0" xfId="0"/>
    <xf numFmtId="165" fontId="10" fillId="6" borderId="0" pivotButton="0" quotePrefix="0" xfId="0"/>
    <xf numFmtId="167" fontId="8" fillId="0" borderId="0" pivotButton="0" quotePrefix="0" xfId="0"/>
    <xf numFmtId="0" fontId="4" fillId="3" borderId="0" pivotButton="0" quotePrefix="0" xfId="0"/>
    <xf numFmtId="167" fontId="8" fillId="3" borderId="0" pivotButton="0" quotePrefix="0" xfId="0"/>
    <xf numFmtId="167" fontId="9" fillId="0" borderId="0" pivotButton="0" quotePrefix="0" xfId="0"/>
    <xf numFmtId="0" fontId="4" fillId="7" borderId="0" pivotButton="0" quotePrefix="0" xfId="0"/>
    <xf numFmtId="165" fontId="8" fillId="7" borderId="0" pivotButton="0" quotePrefix="0" xfId="0"/>
    <xf numFmtId="0" fontId="0" fillId="7" borderId="0" pivotButton="0" quotePrefix="0" xfId="0"/>
    <xf numFmtId="0" fontId="6" fillId="7" borderId="0" pivotButton="0" quotePrefix="0" xfId="0"/>
    <xf numFmtId="166" fontId="9" fillId="0" borderId="0" pivotButton="0" quotePrefix="0" xfId="0"/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167" fontId="7" fillId="4" borderId="0" applyAlignment="1" pivotButton="0" quotePrefix="0" xfId="0">
      <alignment horizontal="center"/>
    </xf>
    <xf numFmtId="166" fontId="7" fillId="4" borderId="0" applyAlignment="1" pivotButton="0" quotePrefix="0" xfId="0">
      <alignment horizontal="center"/>
    </xf>
    <xf numFmtId="165" fontId="4" fillId="0" borderId="1" pivotButton="0" quotePrefix="0" xfId="0"/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ALCOPALET (DTI-1399) — Modelo de análisis</t>
        </is>
      </c>
    </row>
    <row r="2">
      <c r="A2" s="2" t="inlineStr">
        <is>
          <t>Trabajo final del Programa LYDES 2026 · Instituto Internacional San Telmo</t>
        </is>
      </c>
    </row>
    <row r="4">
      <c r="A4" s="3" t="inlineStr">
        <is>
          <t>CÓMO USAR ESTE LIBRO</t>
        </is>
      </c>
      <c r="B4" s="4" t="n"/>
    </row>
    <row r="5" ht="28" customHeight="1">
      <c r="A5" s="5" t="inlineStr">
        <is>
          <t>Regla general</t>
        </is>
      </c>
      <c r="B5" s="6" t="inlineStr">
        <is>
          <t>Ninguna cifra de resultado está escrita a mano: todas son fórmulas. Al cambiar una hipótesis, el libro entero se recalcula.</t>
        </is>
      </c>
    </row>
    <row r="6" ht="28" customHeight="1">
      <c r="A6" s="5" t="inlineStr">
        <is>
          <t>Dónde tocar</t>
        </is>
      </c>
      <c r="B6" s="6" t="inlineStr">
        <is>
          <t>Solo en la hoja «Datos». El bloque H reúne las hipótesis propias, que son las que hay que declarar y defender ante el jurado.</t>
        </is>
      </c>
    </row>
    <row r="7" ht="28" customHeight="1">
      <c r="A7" s="5" t="inlineStr">
        <is>
          <t>Azul</t>
        </is>
      </c>
      <c r="B7" s="6" t="inlineStr">
        <is>
          <t>Dato tomado literalmente del enunciado o de sus anexos.</t>
        </is>
      </c>
    </row>
    <row r="8" ht="28" customHeight="1">
      <c r="A8" s="5" t="inlineStr">
        <is>
          <t>Negro</t>
        </is>
      </c>
      <c r="B8" s="6" t="inlineStr">
        <is>
          <t>Resultado calculado en la propia hoja.</t>
        </is>
      </c>
    </row>
    <row r="9" ht="28" customHeight="1">
      <c r="A9" s="5" t="inlineStr">
        <is>
          <t>Verde</t>
        </is>
      </c>
      <c r="B9" s="6" t="inlineStr">
        <is>
          <t>Enlace a otra hoja del libro.</t>
        </is>
      </c>
    </row>
    <row r="10" ht="28" customHeight="1">
      <c r="A10" s="7" t="inlineStr">
        <is>
          <t>Relleno amarillo</t>
        </is>
      </c>
      <c r="B10" s="6" t="inlineStr">
        <is>
          <t>Hipótesis del analista, NO dada por el caso. Hay que justificarla.</t>
        </is>
      </c>
    </row>
    <row r="12">
      <c r="A12" s="3" t="inlineStr">
        <is>
          <t>CONTENIDO DE LAS HOJAS</t>
        </is>
      </c>
      <c r="B12" s="4" t="n"/>
    </row>
    <row r="13" ht="26" customHeight="1">
      <c r="A13" s="5" t="inlineStr">
        <is>
          <t>Datos</t>
        </is>
      </c>
      <c r="B13" s="6" t="inlineStr">
        <is>
          <t>Todos los datos del enunciado y los tres anexos, más las hipótesis propias.</t>
        </is>
      </c>
    </row>
    <row r="14" ht="26" customHeight="1">
      <c r="A14" s="5" t="inlineStr">
        <is>
          <t>PyG2025</t>
        </is>
      </c>
      <c r="B14" s="6" t="inlineStr">
        <is>
          <t>Anexo 1 recalculado, con contraste contra el valor publicado y conversión del EBITDA en caja.</t>
        </is>
      </c>
    </row>
    <row r="15" ht="26" customHeight="1">
      <c r="A15" s="5" t="inlineStr">
        <is>
          <t>Lineas</t>
        </is>
      </c>
      <c r="B15" s="6" t="inlineStr">
        <is>
          <t>Anexo 2 y comprobación de que las dos líneas suman el consolidado.</t>
        </is>
      </c>
    </row>
    <row r="16" ht="26" customHeight="1">
      <c r="A16" s="5" t="inlineStr">
        <is>
          <t>Escandallo</t>
        </is>
      </c>
      <c r="B16" s="6" t="inlineStr">
        <is>
          <t>Anexo 3 con el coste y el margen recalculados, y reconciliación completa contra la cuenta de resultados.</t>
        </is>
      </c>
    </row>
    <row r="17" ht="26" customHeight="1">
      <c r="A17" s="5" t="inlineStr">
        <is>
          <t>Capacidad</t>
        </is>
      </c>
      <c r="B17" s="6" t="inlineStr">
        <is>
          <t>Capacidad anual de cada sistema, grado de utilización y encaje de Persán en la fábrica. El caso no da estos datos hechos.</t>
        </is>
      </c>
    </row>
    <row r="18" ht="26" customHeight="1">
      <c r="A18" s="5" t="inlineStr">
        <is>
          <t>Persan</t>
        </is>
      </c>
      <c r="B18" s="6" t="inlineStr">
        <is>
          <t>Cuenta de resultados incremental del contrato, circulante, precio de equilibrio, riesgo del precio de la madera y escenario renegociado.</t>
        </is>
      </c>
    </row>
    <row r="19" ht="26" customHeight="1">
      <c r="A19" s="5" t="inlineStr">
        <is>
          <t>Robot</t>
        </is>
      </c>
      <c r="B19" s="6" t="inlineStr">
        <is>
          <t>La máquina analizada por separado del contrato: comparativa técnica, ahorro de mano de obra, efecto de la restricción «sin despidos» y coste de oportunidad.</t>
        </is>
      </c>
    </row>
    <row r="20" ht="26" customHeight="1">
      <c r="A20" s="5" t="inlineStr">
        <is>
          <t>Escenarios</t>
        </is>
      </c>
      <c r="B20" s="6" t="inlineStr">
        <is>
          <t>Las cinco opciones comparadas en resultado, caja y criterios cualitativos.</t>
        </is>
      </c>
    </row>
    <row r="21" ht="26" customHeight="1">
      <c r="A21" s="5" t="inlineStr">
        <is>
          <t>Sensibilidad</t>
        </is>
      </c>
      <c r="B21" s="6" t="inlineStr">
        <is>
          <t>Tabla de doble entrada precio × precio de la madera, y sensibilidad al plazo de cobro.</t>
        </is>
      </c>
    </row>
    <row r="23">
      <c r="A23" s="3" t="inlineStr">
        <is>
          <t>LOS CINCO NÚMEROS QUE SOSTIENEN EL ANÁLISIS</t>
        </is>
      </c>
      <c r="B23" s="4" t="n"/>
    </row>
    <row r="24">
      <c r="A24" s="5" t="inlineStr">
        <is>
          <t>Margen unitario Persán</t>
        </is>
      </c>
      <c r="B24" s="8">
        <f>Escandallo!$D$11</f>
        <v>-0.5199999999999996</v>
      </c>
      <c r="C24" s="9" t="inlineStr">
        <is>
          <t>Negativo. Está en el propio Anexo 3 del caso: el contrato no cubre ni los costes variables.</t>
        </is>
      </c>
    </row>
    <row r="25">
      <c r="A25" s="5" t="inlineStr">
        <is>
          <t>Impacto anual del contrato</t>
        </is>
      </c>
      <c r="B25" s="10">
        <f>Persan!$B$19</f>
        <v>-188876.67123287672</v>
      </c>
      <c r="C25" s="9" t="inlineStr">
        <is>
          <t>Con campa, leasing y coste del circulante incluidos.</t>
        </is>
      </c>
    </row>
    <row r="26">
      <c r="A26" s="5" t="inlineStr">
        <is>
          <t>Precio de equilibrio</t>
        </is>
      </c>
      <c r="B26" s="8">
        <f>Persan!$B$28</f>
        <v>12.170128022759602</v>
      </c>
      <c r="C26" s="9" t="inlineStr">
        <is>
          <t>Por debajo de este precio el contrato destruye valor, con o sin máquina.</t>
        </is>
      </c>
    </row>
    <row r="27">
      <c r="A27" s="5" t="inlineStr">
        <is>
          <t>Capacidad anual actual (palets)</t>
        </is>
      </c>
      <c r="B27" s="11">
        <f>Capacidad!$D$8</f>
        <v>215380.0</v>
      </c>
      <c r="C27" s="9" t="inlineStr">
        <is>
          <t>Frente a 174.504 palets producidos en 2025: la fábrica está al 81%, no llena.</t>
        </is>
      </c>
    </row>
    <row r="28">
      <c r="A28" s="5" t="inlineStr">
        <is>
          <t>Caja operativa real de 2025</t>
        </is>
      </c>
      <c r="B28" s="10">
        <f>PyG2025!$B$31</f>
        <v>-60555.0</v>
      </c>
      <c r="C28" s="9" t="inlineStr">
        <is>
          <t>Frente a 279.364 € de beneficio contable. El beneficio no es caja repartible.</t>
        </is>
      </c>
    </row>
    <row r="30">
      <c r="A30" s="3" t="inlineStr">
        <is>
          <t>ADVERTENCIAS DE HONESTIDAD ANALÍTICA</t>
        </is>
      </c>
      <c r="B30" s="4" t="n"/>
    </row>
    <row r="31" ht="30" customHeight="1">
      <c r="A31" s="12" t="inlineStr">
        <is>
          <t>•</t>
        </is>
      </c>
      <c r="B31" s="6" t="inlineStr">
        <is>
          <t>El coste del circulante es una aproximación de bolsillo (saldo medio × tipo de interés), no un estado de tesorería completo. Sirve como orden de magnitud.</t>
        </is>
      </c>
    </row>
    <row r="32" ht="30" customHeight="1">
      <c r="A32" s="12" t="inlineStr">
        <is>
          <t>•</t>
        </is>
      </c>
      <c r="B32" s="6" t="inlineStr">
        <is>
          <t>El caso no dice si existe demanda suficiente para llenar la capacidad del robot a precio de mercado. Hoy la fábrica está al 81%, así que la demanda es hoy la restricción real.</t>
        </is>
      </c>
    </row>
    <row r="33" ht="30" customHeight="1">
      <c r="A33" s="12" t="inlineStr">
        <is>
          <t>•</t>
        </is>
      </c>
      <c r="B33" s="6" t="inlineStr">
        <is>
          <t>El importe de la casa que quieren comprar los fundadores no aparece en el caso. La cifra usada es una hipótesis de trabajo, señalada en amarillo.</t>
        </is>
      </c>
    </row>
    <row r="34" ht="30" customHeight="1">
      <c r="A34" s="12" t="inlineStr">
        <is>
          <t>•</t>
        </is>
      </c>
      <c r="B34" s="6" t="inlineStr">
        <is>
          <t>La mano de obra directa del escandallo (646.000 €) no cuadra con la partida de personal de producción del Anexo 1 (481.660 €). El escandallo sí cuadra con la plantilla real (17 operarios × 38.000 €), por lo que se ha tomado como base.</t>
        </is>
      </c>
    </row>
    <row r="35" ht="30" customHeight="1">
      <c r="A35" s="12" t="inlineStr">
        <is>
          <t>•</t>
        </is>
      </c>
      <c r="B35" s="6" t="inlineStr">
        <is>
          <t>El anexo publica un coste manual de 12,36 €; la suma exacta de sus componentes da 12,37 €. Diferencia de redondeo, sin efecto en las conclusiones.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4" customWidth="1" min="3" max="3"/>
  </cols>
  <sheetData>
    <row r="1">
      <c r="A1" s="1" t="inlineStr">
        <is>
          <t>ALCOPALET (DTI-1399) — Datos e hipótesis del caso</t>
        </is>
      </c>
    </row>
    <row r="2">
      <c r="A2" s="2" t="inlineStr">
        <is>
          <t>Programa Lydes 2026. Azul = dato del enunciado · Negro = fórmula · Amarillo = hipótesis propia del analista (no dada por el caso).</t>
        </is>
      </c>
    </row>
    <row r="4">
      <c r="A4" s="3" t="inlineStr">
        <is>
          <t>A. PARÁMETROS GENERALES DE CÁLCULO</t>
        </is>
      </c>
      <c r="B4" s="4" t="n"/>
      <c r="C4" s="4" t="n"/>
    </row>
    <row r="5">
      <c r="A5" s="12" t="inlineStr">
        <is>
          <t>Meses productivos al año</t>
        </is>
      </c>
      <c r="B5" s="13" t="n">
        <v>11</v>
      </c>
      <c r="C5" s="9" t="inlineStr">
        <is>
          <t>Nota final del Anexo 3 del caso.</t>
        </is>
      </c>
    </row>
    <row r="6">
      <c r="A6" s="12" t="inlineStr">
        <is>
          <t>Días productivos al mes</t>
        </is>
      </c>
      <c r="B6" s="13" t="n">
        <v>22</v>
      </c>
      <c r="C6" s="9" t="inlineStr">
        <is>
          <t>Nota final del Anexo 3 del caso.</t>
        </is>
      </c>
    </row>
    <row r="7">
      <c r="A7" s="12" t="inlineStr">
        <is>
          <t>Días productivos al año</t>
        </is>
      </c>
      <c r="B7" s="14">
        <f>Datos!$B$5*Datos!$B$6</f>
        <v>242.0</v>
      </c>
      <c r="C7" s="9" t="inlineStr">
        <is>
          <t>Calculado: 11 × 22 = 242 días.</t>
        </is>
      </c>
    </row>
    <row r="8">
      <c r="A8" s="12" t="inlineStr">
        <is>
          <t>Horas por jornada</t>
        </is>
      </c>
      <c r="B8" s="13" t="n">
        <v>8</v>
      </c>
      <c r="C8" s="9" t="inlineStr">
        <is>
          <t>Turno único de 7:00 a 15:00. Esteban descarta turnos de tarde y noche.</t>
        </is>
      </c>
    </row>
    <row r="9">
      <c r="A9" s="12" t="inlineStr">
        <is>
          <t>Coste medio de mano de obra (€/año)</t>
        </is>
      </c>
      <c r="B9" s="15" t="n">
        <v>38000</v>
      </c>
      <c r="C9" s="9" t="inlineStr">
        <is>
          <t>Sueldos y cotizaciones sociales. Apartado (d) del caso.</t>
        </is>
      </c>
    </row>
    <row r="10">
      <c r="A10" s="12" t="inlineStr">
        <is>
          <t>Coste medio de despido (€/trabajador)</t>
        </is>
      </c>
      <c r="B10" s="15" t="n">
        <v>30000</v>
      </c>
      <c r="C10" s="9" t="inlineStr">
        <is>
          <t>Elevado por la antigüedad de la plantilla. Apartado (d) del caso.</t>
        </is>
      </c>
    </row>
    <row r="11">
      <c r="A11" s="12" t="inlineStr">
        <is>
          <t>Tipo de interés de la financiación</t>
        </is>
      </c>
      <c r="B11" s="16" t="n">
        <v>0.075</v>
      </c>
      <c r="C11" s="9" t="inlineStr">
        <is>
          <t>Ofrecido por la entidad financiera habitual. Apartado (c) del caso.</t>
        </is>
      </c>
    </row>
    <row r="13">
      <c r="A13" s="3" t="inlineStr">
        <is>
          <t>B. CONTRATO PERSÁN</t>
        </is>
      </c>
      <c r="B13" s="4" t="n"/>
      <c r="C13" s="4" t="n"/>
    </row>
    <row r="14">
      <c r="A14" s="12" t="inlineStr">
        <is>
          <t>Volumen anual comprometido (palets)</t>
        </is>
      </c>
      <c r="B14" s="13" t="n">
        <v>90000</v>
      </c>
      <c r="C14" s="9" t="inlineStr">
        <is>
          <t>90 mil unidades/año.</t>
        </is>
      </c>
    </row>
    <row r="15">
      <c r="A15" s="12" t="inlineStr">
        <is>
          <t>Precio de venta unitario (€)</t>
        </is>
      </c>
      <c r="B15" s="17" t="n">
        <v>10</v>
      </c>
      <c r="C15" s="9" t="inlineStr">
        <is>
          <t>PVunit = 10 € FIJO durante los 5 años. Sin cláusula de revisión.</t>
        </is>
      </c>
    </row>
    <row r="16">
      <c r="A16" s="12" t="inlineStr">
        <is>
          <t>Duración del contrato (años)</t>
        </is>
      </c>
      <c r="B16" s="13" t="n">
        <v>5</v>
      </c>
    </row>
    <row r="17">
      <c r="A17" s="12" t="inlineStr">
        <is>
          <t>Plazo de cobro (días)</t>
        </is>
      </c>
      <c r="B17" s="13" t="n">
        <v>180</v>
      </c>
      <c r="C17" s="9" t="inlineStr">
        <is>
          <t>Pago a 180 días.</t>
        </is>
      </c>
    </row>
    <row r="18">
      <c r="A18" s="12" t="inlineStr">
        <is>
          <t>Retén permanente exigido (palets)</t>
        </is>
      </c>
      <c r="B18" s="13" t="n">
        <v>1000</v>
      </c>
      <c r="C18" s="9" t="inlineStr">
        <is>
          <t>Dos camiones en nave para garantizar servicio en menos de 24 horas.</t>
        </is>
      </c>
    </row>
    <row r="20">
      <c r="A20" s="3" t="inlineStr">
        <is>
          <t>C. LÍNEA AUTOMÁTICA (instalada en 2019)</t>
        </is>
      </c>
      <c r="B20" s="4" t="n"/>
      <c r="C20" s="4" t="n"/>
    </row>
    <row r="21">
      <c r="A21" s="12" t="inlineStr">
        <is>
          <t>Capacidad nominal (palets/hora)</t>
        </is>
      </c>
      <c r="B21" s="13" t="n">
        <v>65</v>
      </c>
    </row>
    <row r="22">
      <c r="A22" s="12" t="inlineStr">
        <is>
          <t>Rendimiento considerado</t>
        </is>
      </c>
      <c r="B22" s="16" t="n">
        <v>0.75</v>
      </c>
      <c r="C22" s="9" t="inlineStr">
        <is>
          <t>Alcopalet la considera al 75% por su mantenimiento complejo y constante.</t>
        </is>
      </c>
    </row>
    <row r="23">
      <c r="A23" s="12" t="inlineStr">
        <is>
          <t>Operarios necesarios</t>
        </is>
      </c>
      <c r="B23" s="13" t="n">
        <v>2</v>
      </c>
    </row>
    <row r="24">
      <c r="A24" s="12" t="inlineStr">
        <is>
          <t>Coste de adquisición (€)</t>
        </is>
      </c>
      <c r="B24" s="15" t="n">
        <v>360000</v>
      </c>
      <c r="C24" s="9" t="inlineStr">
        <is>
          <t>Nota ** del Anexo 1.</t>
        </is>
      </c>
    </row>
    <row r="25">
      <c r="A25" s="12" t="inlineStr">
        <is>
          <t>Periodo de amortización (años)</t>
        </is>
      </c>
      <c r="B25" s="13" t="n">
        <v>10</v>
      </c>
    </row>
    <row r="26">
      <c r="A26" s="12" t="inlineStr">
        <is>
          <t>Amortización anual (€)</t>
        </is>
      </c>
      <c r="B26" s="18">
        <f>Datos!$B$24/Datos!$B$25</f>
        <v>36000.0</v>
      </c>
      <c r="C26" s="9" t="inlineStr">
        <is>
          <t>36.000 € frente a los 36.143 € del Anexo 1: la diferencia son otros inmovilizados menores.</t>
        </is>
      </c>
    </row>
    <row r="27">
      <c r="A27" s="12" t="inlineStr">
        <is>
          <t>Cambio de formato — mínimo (horas)</t>
        </is>
      </c>
      <c r="B27" s="19" t="n">
        <v>4</v>
      </c>
    </row>
    <row r="28">
      <c r="A28" s="12" t="inlineStr">
        <is>
          <t>Cambio de formato — máximo (horas)</t>
        </is>
      </c>
      <c r="B28" s="19" t="n">
        <v>6</v>
      </c>
      <c r="C28" s="9" t="inlineStr">
        <is>
          <t>Parada total de la línea. Es la gran rigidez de esta instalación (38 metros).</t>
        </is>
      </c>
    </row>
    <row r="30">
      <c r="A30" s="3" t="inlineStr">
        <is>
          <t>D. FABRICACIÓN MANUAL (palet nuevo)</t>
        </is>
      </c>
      <c r="B30" s="4" t="n"/>
      <c r="C30" s="4" t="n"/>
    </row>
    <row r="31">
      <c r="A31" s="12" t="inlineStr">
        <is>
          <t>Operarios</t>
        </is>
      </c>
      <c r="B31" s="13" t="n">
        <v>8</v>
      </c>
    </row>
    <row r="32">
      <c r="A32" s="12" t="inlineStr">
        <is>
          <t>Producción total (palets/día)</t>
        </is>
      </c>
      <c r="B32" s="13" t="n">
        <v>500</v>
      </c>
    </row>
    <row r="33">
      <c r="A33" s="12" t="inlineStr">
        <is>
          <t>Productividad (palets/operario/día)</t>
        </is>
      </c>
      <c r="B33" s="20">
        <f>Datos!$B$32/Datos!$B$31</f>
        <v>62.5</v>
      </c>
      <c r="C33" s="9" t="inlineStr">
        <is>
          <t>Dato derivado, necesario para valorar la sustitución por el robot.</t>
        </is>
      </c>
    </row>
    <row r="35">
      <c r="A35" s="3" t="inlineStr">
        <is>
          <t>E. LÍNEA DE PALET USADO (Palet Ojeda)</t>
        </is>
      </c>
      <c r="B35" s="4" t="n"/>
      <c r="C35" s="4" t="n"/>
    </row>
    <row r="36">
      <c r="A36" s="12" t="inlineStr">
        <is>
          <t>Operarios</t>
        </is>
      </c>
      <c r="B36" s="13" t="n">
        <v>7</v>
      </c>
    </row>
    <row r="37">
      <c r="A37" s="12" t="inlineStr">
        <is>
          <t>Productividad (palets/persona/día)</t>
        </is>
      </c>
      <c r="B37" s="13" t="n">
        <v>155</v>
      </c>
    </row>
    <row r="38">
      <c r="A38" s="12" t="inlineStr">
        <is>
          <t>Techo logístico (palets/mes)</t>
        </is>
      </c>
      <c r="B38" s="13" t="n">
        <v>30000</v>
      </c>
      <c r="C38" s="9" t="inlineStr">
        <is>
          <t>Techo por FALTA DE ESPACIO, no por falta de demanda. Clave del caso.</t>
        </is>
      </c>
    </row>
    <row r="39">
      <c r="A39" s="12" t="inlineStr">
        <is>
          <t>Techo logístico (palets/año)</t>
        </is>
      </c>
      <c r="B39" s="14">
        <f>Datos!$B$38*12</f>
        <v>360000.0</v>
      </c>
    </row>
    <row r="41">
      <c r="A41" s="3" t="inlineStr">
        <is>
          <t>F. NUEVO ROBOT PARA PALETS</t>
        </is>
      </c>
      <c r="B41" s="4" t="n"/>
      <c r="C41" s="4" t="n"/>
    </row>
    <row r="42">
      <c r="A42" s="12" t="inlineStr">
        <is>
          <t>Inversión (€)</t>
        </is>
      </c>
      <c r="B42" s="15" t="n">
        <v>40000</v>
      </c>
    </row>
    <row r="43">
      <c r="A43" s="12" t="inlineStr">
        <is>
          <t>Producción (palets/jornada)</t>
        </is>
      </c>
      <c r="B43" s="13" t="n">
        <v>400</v>
      </c>
    </row>
    <row r="44">
      <c r="A44" s="12" t="inlineStr">
        <is>
          <t>Rendimiento considerado</t>
        </is>
      </c>
      <c r="B44" s="16" t="n">
        <v>0.9</v>
      </c>
      <c r="C44" s="9" t="inlineStr">
        <is>
          <t>Frente al 75% de la línea de 2019: sin electrónica compleja ni rodamientos.</t>
        </is>
      </c>
    </row>
    <row r="45">
      <c r="A45" s="12" t="inlineStr">
        <is>
          <t>Operarios necesarios</t>
        </is>
      </c>
      <c r="B45" s="13" t="n">
        <v>1</v>
      </c>
      <c r="C45" s="9" t="inlineStr">
        <is>
          <t>Un solo operario dedicado en exclusiva a la máquina (nota 1 del Anexo 3).</t>
        </is>
      </c>
    </row>
    <row r="46">
      <c r="A46" s="12" t="inlineStr">
        <is>
          <t>Cambio de formato (minutos)</t>
        </is>
      </c>
      <c r="B46" s="13" t="n">
        <v>25</v>
      </c>
      <c r="C46" s="9" t="inlineStr">
        <is>
          <t>Entre 20 y 30 minutos, frente a 4-6 HORAS de la línea de 2019.</t>
        </is>
      </c>
    </row>
    <row r="48">
      <c r="A48" s="3" t="inlineStr">
        <is>
          <t>G. INVERSIONES ADICIONALES SI SE ACEPTA PERSÁN</t>
        </is>
      </c>
      <c r="B48" s="4" t="n"/>
      <c r="C48" s="4" t="n"/>
    </row>
    <row r="49">
      <c r="A49" s="12" t="inlineStr">
        <is>
          <t>Alquiler almacén/campa (€/mes)</t>
        </is>
      </c>
      <c r="B49" s="15" t="n">
        <v>5000</v>
      </c>
      <c r="C49" s="9" t="inlineStr">
        <is>
          <t>Terreno colindante. Apartado (a) del caso.</t>
        </is>
      </c>
    </row>
    <row r="50">
      <c r="A50" s="12" t="inlineStr">
        <is>
          <t>Alquiler almacén/campa (€/año)</t>
        </is>
      </c>
      <c r="B50" s="18">
        <f>Datos!$B$49*12</f>
        <v>60000.0</v>
      </c>
    </row>
    <row r="51">
      <c r="A51" s="12" t="inlineStr">
        <is>
          <t>Nuevo tráiler y remolque (€)</t>
        </is>
      </c>
      <c r="B51" s="15" t="n">
        <v>150000</v>
      </c>
      <c r="C51" s="9" t="inlineStr">
        <is>
          <t>La logística actual ya está muy saturada. Apartado (b) del caso.</t>
        </is>
      </c>
    </row>
    <row r="52">
      <c r="A52" s="12" t="inlineStr">
        <is>
          <t>Leasing máquina + camión (€/mes)</t>
        </is>
      </c>
      <c r="B52" s="15" t="n">
        <v>4000</v>
      </c>
      <c r="C52" s="9" t="inlineStr">
        <is>
          <t>Cuota conjunta para ambos activos. Apartado (c) del caso.</t>
        </is>
      </c>
    </row>
    <row r="53">
      <c r="A53" s="12" t="inlineStr">
        <is>
          <t>Leasing máquina + camión (€/año)</t>
        </is>
      </c>
      <c r="B53" s="18">
        <f>Datos!$B$52*12</f>
        <v>48000.0</v>
      </c>
    </row>
    <row r="54">
      <c r="A54" s="12" t="inlineStr">
        <is>
          <t>Duración del leasing (años)</t>
        </is>
      </c>
      <c r="B54" s="13" t="n">
        <v>5</v>
      </c>
    </row>
    <row r="55">
      <c r="A55" s="12" t="inlineStr">
        <is>
          <t>Inversión total financiada (€)</t>
        </is>
      </c>
      <c r="B55" s="18">
        <f>Datos!$B$42+Datos!$B$51</f>
        <v>190000.0</v>
      </c>
      <c r="C55" s="9" t="inlineStr">
        <is>
          <t>40.000 € (robot) + 150.000 € (tráiler). La cuota de 4.000 €/mes × 60 meses = 240.000 €.</t>
        </is>
      </c>
    </row>
    <row r="57">
      <c r="A57" s="3" t="inlineStr">
        <is>
          <t>H. HIPÓTESIS PROPIAS DEL ANALISTA (no dadas por el caso)</t>
        </is>
      </c>
      <c r="B57" s="4" t="n"/>
      <c r="C57" s="4" t="n"/>
    </row>
    <row r="58">
      <c r="A58" s="9" t="inlineStr">
        <is>
          <t>Estas celdas NO proceden del enunciado. Son los supuestos que hay que declarar y defender ante el jurado.</t>
        </is>
      </c>
    </row>
    <row r="59">
      <c r="A59" s="12" t="inlineStr">
        <is>
          <t>% de mano de obra liberada que se monetiza</t>
        </is>
      </c>
      <c r="B59" s="21" t="n">
        <v>0</v>
      </c>
      <c r="C59" s="9" t="inlineStr">
        <is>
          <t>CRÍTICO. Esteban NO quiere despidos. Si el personal liberado por el robot no se reasigna a producción vendible, el ahorro teórico de mano de obra es cero.</t>
        </is>
      </c>
    </row>
    <row r="60">
      <c r="A60" s="12" t="inlineStr">
        <is>
          <t>Precio Persán renegociado objetivo (€/ud)</t>
        </is>
      </c>
      <c r="B60" s="22" t="n">
        <v>12.5</v>
      </c>
      <c r="C60" s="9" t="inlineStr">
        <is>
          <t>Hipótesis de negociación. Ver hoja Persan para el precio de equilibrio exacto.</t>
        </is>
      </c>
    </row>
    <row r="61">
      <c r="A61" s="12" t="inlineStr">
        <is>
          <t>Plazo de cobro renegociado (días)</t>
        </is>
      </c>
      <c r="B61" s="23" t="n">
        <v>90</v>
      </c>
      <c r="C61" s="9" t="inlineStr">
        <is>
          <t>Hipótesis de negociación: reducir de 180 a 90 días libera la mitad del circulante.</t>
        </is>
      </c>
    </row>
    <row r="62">
      <c r="A62" s="12" t="inlineStr">
        <is>
          <t>Inflación anual del precio de la madera</t>
        </is>
      </c>
      <c r="B62" s="21" t="n">
        <v>0</v>
      </c>
      <c r="C62" s="9" t="inlineStr">
        <is>
          <t>Escenario base 0%. La madera es el 83% del precio Persán y el contrato NO tiene cláusula de revisión durante 5 años.</t>
        </is>
      </c>
    </row>
    <row r="63">
      <c r="A63" s="12" t="inlineStr">
        <is>
          <t>Dividendo extraordinario planteado (€)</t>
        </is>
      </c>
      <c r="B63" s="24" t="n">
        <v>200000</v>
      </c>
      <c r="C63" s="9" t="inlineStr">
        <is>
          <t>El caso no cuantifica el importe de la casa. Cifra de trabajo, a ajustar.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6" customWidth="1" min="4" max="4"/>
    <col width="12" customWidth="1" min="5" max="5"/>
    <col width="50" customWidth="1" min="6" max="6"/>
  </cols>
  <sheetData>
    <row r="1">
      <c r="A1" s="1" t="inlineStr">
        <is>
          <t>Anexo 1 — Cuenta de pérdidas y ganancias consolidada 2025</t>
        </is>
      </c>
    </row>
    <row r="2">
      <c r="A2" s="2" t="inlineStr">
        <is>
          <t>Los subtotales se recalculan con fórmulas y se contrastan contra el valor publicado en el anexo (columna de diferencia).</t>
        </is>
      </c>
    </row>
    <row r="4">
      <c r="A4" s="25" t="inlineStr">
        <is>
          <t>Concepto</t>
        </is>
      </c>
      <c r="B4" s="25" t="inlineStr">
        <is>
          <t>Importe 2025</t>
        </is>
      </c>
      <c r="C4" s="25" t="inlineStr">
        <is>
          <t>% s/ Ventas</t>
        </is>
      </c>
      <c r="D4" s="25" t="inlineStr">
        <is>
          <t>Valor del anexo</t>
        </is>
      </c>
      <c r="E4" s="25" t="inlineStr">
        <is>
          <t>Diferencia</t>
        </is>
      </c>
      <c r="F4" s="25" t="inlineStr">
        <is>
          <t>Comentario</t>
        </is>
      </c>
    </row>
    <row r="5">
      <c r="A5" s="26" t="inlineStr">
        <is>
          <t>VENTAS NETAS</t>
        </is>
      </c>
      <c r="B5" s="27" t="n">
        <v>4585267</v>
      </c>
      <c r="C5" s="28">
        <f>B5/$B$5</f>
        <v>1.0</v>
      </c>
      <c r="D5" s="29" t="n"/>
      <c r="E5" s="29" t="n"/>
    </row>
    <row r="6">
      <c r="A6" s="12" t="inlineStr">
        <is>
          <t>Variación de existencias</t>
        </is>
      </c>
      <c r="B6" s="15" t="n">
        <v>376062</v>
      </c>
      <c r="C6" s="30">
        <f>B6/$B$5</f>
        <v>0.08201528940408487</v>
      </c>
      <c r="F6" s="9" t="inlineStr">
        <is>
          <t>Aumento de existencias: es beneficio contable, pero NO es caja.</t>
        </is>
      </c>
    </row>
    <row r="7">
      <c r="A7" s="12" t="inlineStr">
        <is>
          <t>Aprovisionamientos</t>
        </is>
      </c>
      <c r="B7" s="15" t="n">
        <v>-3068506</v>
      </c>
      <c r="C7" s="30">
        <f>B7/$B$5</f>
        <v>-0.6692098846152252</v>
      </c>
      <c r="F7" s="9" t="inlineStr">
        <is>
          <t>Compras del ejercicio. El consumo real es Aprovisionamientos − Variación.</t>
        </is>
      </c>
    </row>
    <row r="8">
      <c r="A8" s="26" t="inlineStr">
        <is>
          <t>MARGEN BRUTO</t>
        </is>
      </c>
      <c r="B8" s="27">
        <f>SUM(B5:B7)</f>
        <v>1892823.0</v>
      </c>
      <c r="C8" s="28">
        <f>B8/$B$5</f>
        <v>0.41280540478885963</v>
      </c>
      <c r="D8" s="31" t="n">
        <v>1892822</v>
      </c>
      <c r="E8" s="32">
        <f>B8-D8</f>
        <v>1.0</v>
      </c>
    </row>
    <row r="9">
      <c r="A9" s="12" t="inlineStr">
        <is>
          <t>Gastos de Personal — Producción</t>
        </is>
      </c>
      <c r="B9" s="15" t="n">
        <v>-481660</v>
      </c>
      <c r="C9" s="30">
        <f>B9/$B$5</f>
        <v>-0.10504513695712812</v>
      </c>
    </row>
    <row r="10">
      <c r="A10" s="12" t="inlineStr">
        <is>
          <t>Gastos de Transporte</t>
        </is>
      </c>
      <c r="B10" s="15" t="n">
        <v>-268218</v>
      </c>
      <c r="C10" s="30">
        <f>B10/$B$5</f>
        <v>-0.05849561214210645</v>
      </c>
      <c r="F10" s="9" t="inlineStr">
        <is>
          <t>Coste total de los 2 camiones actuales, YA al 100% de su capacidad.</t>
        </is>
      </c>
    </row>
    <row r="11">
      <c r="A11" s="12" t="inlineStr">
        <is>
          <t>Gastos de Personal — Estructura/Admin.</t>
        </is>
      </c>
      <c r="B11" s="15" t="n">
        <v>-311292</v>
      </c>
      <c r="C11" s="30">
        <f>B11/$B$5</f>
        <v>-0.06788961253510428</v>
      </c>
    </row>
    <row r="12">
      <c r="A12" s="12" t="inlineStr">
        <is>
          <t>Otros Costes de Explotación</t>
        </is>
      </c>
      <c r="B12" s="15" t="n">
        <v>-378979</v>
      </c>
      <c r="C12" s="30">
        <f>B12/$B$5</f>
        <v>-0.08265145737423797</v>
      </c>
      <c r="F12" s="9" t="inlineStr">
        <is>
          <t>El 60% corresponde a la línea de palet nuevo (apartado (e) del caso).</t>
        </is>
      </c>
    </row>
    <row r="13">
      <c r="A13" s="26" t="inlineStr">
        <is>
          <t>EBITDA</t>
        </is>
      </c>
      <c r="B13" s="27">
        <f>B8+SUM(B9:B12)</f>
        <v>452674.0</v>
      </c>
      <c r="C13" s="28">
        <f>B13/$B$5</f>
        <v>0.0987235857802828</v>
      </c>
      <c r="D13" s="31" t="n">
        <v>452674</v>
      </c>
      <c r="E13" s="32">
        <f>B13-D13</f>
        <v>0.0</v>
      </c>
    </row>
    <row r="14">
      <c r="A14" s="12" t="inlineStr">
        <is>
          <t>Amortización del Inmovilizado</t>
        </is>
      </c>
      <c r="B14" s="15" t="n">
        <v>-36143</v>
      </c>
      <c r="C14" s="30">
        <f>B14/$B$5</f>
        <v>-0.007882419933233987</v>
      </c>
      <c r="F14" s="9" t="inlineStr">
        <is>
          <t>Línea de 2019: 360.000 € a 10 años = 36.000 €/año.</t>
        </is>
      </c>
    </row>
    <row r="15">
      <c r="A15" s="26" t="inlineStr">
        <is>
          <t>RESULTADO DE EXPLOTACIÓN (EBIT)</t>
        </is>
      </c>
      <c r="B15" s="27">
        <f>B13+B14</f>
        <v>416531.0</v>
      </c>
      <c r="C15" s="28">
        <f>B15/$B$5</f>
        <v>0.09084116584704882</v>
      </c>
      <c r="D15" s="31" t="n">
        <v>416531</v>
      </c>
      <c r="E15" s="32">
        <f>B15-D15</f>
        <v>0.0</v>
      </c>
    </row>
    <row r="16">
      <c r="A16" s="12" t="inlineStr">
        <is>
          <t>Gastos Financieros</t>
        </is>
      </c>
      <c r="B16" s="15" t="n">
        <v>-44046</v>
      </c>
      <c r="C16" s="30">
        <f>B16/$B$5</f>
        <v>-0.009605983686446176</v>
      </c>
    </row>
    <row r="17">
      <c r="A17" s="26" t="inlineStr">
        <is>
          <t>RESULTADO ANTES DE IMPUESTOS</t>
        </is>
      </c>
      <c r="B17" s="27">
        <f>B15+B16</f>
        <v>372485.0</v>
      </c>
      <c r="C17" s="28">
        <f>B17/$B$5</f>
        <v>0.08123518216060265</v>
      </c>
      <c r="D17" s="31" t="n">
        <v>372485</v>
      </c>
      <c r="E17" s="32">
        <f>B17-D17</f>
        <v>0.0</v>
      </c>
    </row>
    <row r="18">
      <c r="A18" s="12" t="inlineStr">
        <is>
          <t>Impuestos (estimado)</t>
        </is>
      </c>
      <c r="B18" s="15" t="n">
        <v>-93121</v>
      </c>
      <c r="C18" s="30">
        <f>B18/$B$5</f>
        <v>-0.020308741017698643</v>
      </c>
    </row>
    <row r="19">
      <c r="A19" s="26" t="inlineStr">
        <is>
          <t>RESULTADO NETO DEL EJERCICIO</t>
        </is>
      </c>
      <c r="B19" s="27">
        <f>B17+B18</f>
        <v>279364.0</v>
      </c>
      <c r="C19" s="28">
        <f>B19/$B$5</f>
        <v>0.060926441142904</v>
      </c>
      <c r="D19" s="31" t="n">
        <v>279364</v>
      </c>
      <c r="E19" s="32">
        <f>B19-D19</f>
        <v>0.0</v>
      </c>
    </row>
    <row r="21">
      <c r="A21" s="3" t="inlineStr">
        <is>
          <t>RATIOS Y LECTURA DE CAJA</t>
        </is>
      </c>
      <c r="B21" s="4" t="n"/>
      <c r="C21" s="4" t="n"/>
      <c r="D21" s="4" t="n"/>
      <c r="E21" s="4" t="n"/>
      <c r="F21" s="4" t="n"/>
    </row>
    <row r="22">
      <c r="A22" s="12" t="inlineStr">
        <is>
          <t>Tipo impositivo efectivo</t>
        </is>
      </c>
      <c r="B22" s="30">
        <f>PyG2025!$B$18/-PyG2025!$B$17</f>
        <v>0.24999932883203352</v>
      </c>
      <c r="C22" s="9" t="inlineStr">
        <is>
          <t>Coherente con un tipo del 25%.</t>
        </is>
      </c>
    </row>
    <row r="23">
      <c r="A23" s="12" t="inlineStr">
        <is>
          <t>Margen EBITDA sobre ventas</t>
        </is>
      </c>
      <c r="B23" s="30">
        <f>PyG2025!$B$13/PyG2025!$B$5</f>
        <v>0.0987235857802828</v>
      </c>
    </row>
    <row r="24">
      <c r="A24" s="12" t="inlineStr">
        <is>
          <t>Margen neto sobre ventas</t>
        </is>
      </c>
      <c r="B24" s="30">
        <f>PyG2025!$B$19/PyG2025!$B$5</f>
        <v>0.060926441142904</v>
      </c>
    </row>
    <row r="26">
      <c r="A26" s="3" t="inlineStr">
        <is>
          <t>Conversión del EBITDA en caja (aproximación)</t>
        </is>
      </c>
      <c r="B26" s="4" t="n"/>
      <c r="C26" s="4" t="n"/>
      <c r="D26" s="4" t="n"/>
      <c r="E26" s="4" t="n"/>
      <c r="F26" s="4" t="n"/>
    </row>
    <row r="27">
      <c r="A27" s="12" t="inlineStr">
        <is>
          <t>EBITDA</t>
        </is>
      </c>
      <c r="B27" s="33">
        <f>PyG2025!$B$13</f>
        <v>452674.0</v>
      </c>
    </row>
    <row r="28">
      <c r="A28" s="12" t="inlineStr">
        <is>
          <t>(−) Aumento de existencias</t>
        </is>
      </c>
      <c r="B28" s="33">
        <f>-PyG2025!$B$6</f>
        <v>-376062.0</v>
      </c>
      <c r="C28" s="9" t="inlineStr">
        <is>
          <t>Salida de caja: se ha fabricado y comprado más de lo vendido.</t>
        </is>
      </c>
    </row>
    <row r="29">
      <c r="A29" s="12" t="inlineStr">
        <is>
          <t>(−) Gastos financieros</t>
        </is>
      </c>
      <c r="B29" s="33">
        <f>PyG2025!$B$16</f>
        <v>-44046.0</v>
      </c>
    </row>
    <row r="30">
      <c r="A30" s="12" t="inlineStr">
        <is>
          <t>(−) Impuestos</t>
        </is>
      </c>
      <c r="B30" s="33">
        <f>PyG2025!$B$18</f>
        <v>-93121.0</v>
      </c>
    </row>
    <row r="31">
      <c r="A31" s="34" t="inlineStr">
        <is>
          <t>CAJA OPERATIVA APROXIMADA 2025</t>
        </is>
      </c>
      <c r="B31" s="35">
        <f>B27+B28+B29+B30</f>
        <v>-60555.0</v>
      </c>
      <c r="C31" s="36" t="n"/>
      <c r="D31" s="36" t="n"/>
      <c r="E31" s="36" t="n"/>
      <c r="F31" s="37" t="inlineStr">
        <is>
          <t>Frente a un beneficio contable de 279.364 €. El beneficio no es caja disponible: el argumento central frente a la petición de dividendo.</t>
        </is>
      </c>
    </row>
    <row r="33">
      <c r="A33" s="9" t="inlineStr">
        <is>
          <t>Nota: el aumento de existencias puede ser puntual (acopio de madera gallega). Aun así, muestra que 2025 generó mucha menos caja libre de la que sugiere el beneficio.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6" customWidth="1" min="5" max="5"/>
    <col width="46" customWidth="1" min="6" max="6"/>
  </cols>
  <sheetData>
    <row r="1">
      <c r="A1" s="1" t="inlineStr">
        <is>
          <t>Anexo 2 — Rentabilidad por líneas de negocio 2025</t>
        </is>
      </c>
    </row>
    <row r="2">
      <c r="A2" s="2" t="inlineStr">
        <is>
          <t>Comprobación de que las dos líneas suman exactamente el consolidado del Anexo 1.</t>
        </is>
      </c>
    </row>
    <row r="4">
      <c r="A4" s="25" t="inlineStr">
        <is>
          <t>Concepto</t>
        </is>
      </c>
      <c r="B4" s="25" t="inlineStr">
        <is>
          <t>ALCOPALET (Nuevo)</t>
        </is>
      </c>
      <c r="C4" s="25" t="inlineStr">
        <is>
          <t>PALET OJEDA (Usado)</t>
        </is>
      </c>
      <c r="D4" s="25" t="inlineStr">
        <is>
          <t>TOTAL</t>
        </is>
      </c>
      <c r="E4" s="25" t="inlineStr">
        <is>
          <t>Anexo 1</t>
        </is>
      </c>
      <c r="F4" s="25" t="inlineStr">
        <is>
          <t>Diferencia</t>
        </is>
      </c>
    </row>
    <row r="5">
      <c r="A5" s="12" t="inlineStr">
        <is>
          <t>Ventas netas (€)</t>
        </is>
      </c>
      <c r="B5" s="15" t="n">
        <v>2645224</v>
      </c>
      <c r="C5" s="15" t="n">
        <v>1940042</v>
      </c>
      <c r="D5" s="38">
        <f>B5+C5</f>
        <v>4585266.0</v>
      </c>
      <c r="E5" s="33">
        <f>PyG2025!$B$5</f>
        <v>4585267.0</v>
      </c>
      <c r="F5" s="18">
        <f>D5-E5</f>
        <v>-1.0</v>
      </c>
    </row>
    <row r="6">
      <c r="A6" s="12" t="inlineStr">
        <is>
          <t>Resultado neto (€)</t>
        </is>
      </c>
      <c r="B6" s="15" t="n">
        <v>158882</v>
      </c>
      <c r="C6" s="15" t="n">
        <v>120482</v>
      </c>
      <c r="D6" s="38">
        <f>B6+C6</f>
        <v>279364.0</v>
      </c>
      <c r="E6" s="33">
        <f>PyG2025!$B$19</f>
        <v>279364.0</v>
      </c>
      <c r="F6" s="18">
        <f>D6-E6</f>
        <v>0.0</v>
      </c>
    </row>
    <row r="7">
      <c r="A7" s="12" t="inlineStr">
        <is>
          <t>Unidades vendidas (palets)</t>
        </is>
      </c>
      <c r="B7" s="13" t="n">
        <v>174504</v>
      </c>
      <c r="C7" s="13" t="n">
        <v>260330</v>
      </c>
      <c r="D7" s="39">
        <f>B7+C7</f>
        <v>434834.0</v>
      </c>
    </row>
    <row r="9">
      <c r="A9" s="3" t="inlineStr">
        <is>
          <t>INDICADORES DERIVADOS</t>
        </is>
      </c>
      <c r="B9" s="4" t="n"/>
      <c r="C9" s="4" t="n"/>
      <c r="D9" s="4" t="n"/>
      <c r="E9" s="4" t="n"/>
      <c r="F9" s="4" t="n"/>
    </row>
    <row r="10">
      <c r="A10" s="12" t="inlineStr">
        <is>
          <t>Precio medio de venta (€/palet)</t>
        </is>
      </c>
      <c r="B10" s="40">
        <f>B5/B7</f>
        <v>15.158529317379545</v>
      </c>
      <c r="C10" s="40">
        <f>C5/C7</f>
        <v>7.452241385933238</v>
      </c>
      <c r="F10" s="9" t="inlineStr">
        <is>
          <t>Coincide con el ingreso medio del Anexo 3 (15,16 € y 7,45 €): los anexos son coherentes.</t>
        </is>
      </c>
    </row>
    <row r="11">
      <c r="A11" s="12" t="inlineStr">
        <is>
          <t>Resultado neto por palet (€)</t>
        </is>
      </c>
      <c r="B11" s="40">
        <f>B6/B7</f>
        <v>0.9104776967863201</v>
      </c>
      <c r="C11" s="40">
        <f>C6/C7</f>
        <v>0.4628049014712096</v>
      </c>
    </row>
    <row r="12">
      <c r="A12" s="12" t="inlineStr">
        <is>
          <t>Margen neto sobre ventas</t>
        </is>
      </c>
      <c r="B12" s="30">
        <f>B6/B5</f>
        <v>0.060063722391752075</v>
      </c>
      <c r="C12" s="30">
        <f>C6/C5</f>
        <v>0.06210277921818187</v>
      </c>
    </row>
    <row r="13">
      <c r="A13" s="12" t="inlineStr">
        <is>
          <t>Peso sobre ventas totales</t>
        </is>
      </c>
      <c r="B13" s="30">
        <f>B5/$D$5</f>
        <v>0.5768965202891173</v>
      </c>
      <c r="C13" s="30">
        <f>C5/$D$5</f>
        <v>0.42310347971088264</v>
      </c>
    </row>
    <row r="14">
      <c r="A14" s="12" t="inlineStr">
        <is>
          <t>Peso sobre resultado total</t>
        </is>
      </c>
      <c r="B14" s="30">
        <f>B6/$D$6</f>
        <v>0.5687275382654887</v>
      </c>
      <c r="C14" s="30">
        <f>C6/$D$6</f>
        <v>0.4312724617345112</v>
      </c>
      <c r="F14" s="9" t="inlineStr">
        <is>
          <t>El palet usado aporta el 43% del beneficio con el 42% de las ventas.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9" customWidth="1" min="4" max="4"/>
    <col width="15" customWidth="1" min="5" max="5"/>
    <col width="52" customWidth="1" min="6" max="6"/>
  </cols>
  <sheetData>
    <row r="1">
      <c r="A1" s="1" t="inlineStr">
        <is>
          <t>Anexo 3 — Escandallo de costes unitarios (€/palet)</t>
        </is>
      </c>
    </row>
    <row r="2">
      <c r="A2" s="2" t="inlineStr">
        <is>
          <t>El coste y el margen se recalculan sumando los componentes, en lugar de copiar el total del anexo. Así se detecta cualquier redondeo.</t>
        </is>
      </c>
    </row>
    <row r="4">
      <c r="A4" s="25" t="inlineStr">
        <is>
          <t>Concepto de coste</t>
        </is>
      </c>
      <c r="B4" s="25" t="inlineStr">
        <is>
          <t>Manual actual (2025)</t>
        </is>
      </c>
      <c r="C4" s="25" t="inlineStr">
        <is>
          <t>Palet usado (2025)</t>
        </is>
      </c>
      <c r="D4" s="25" t="inlineStr">
        <is>
          <t>Proyecto Persán</t>
        </is>
      </c>
      <c r="E4" s="25" t="inlineStr"/>
      <c r="F4" s="25" t="inlineStr">
        <is>
          <t>Notas del anexo</t>
        </is>
      </c>
    </row>
    <row r="5">
      <c r="A5" s="12" t="inlineStr">
        <is>
          <t>Ingreso (medio)</t>
        </is>
      </c>
      <c r="B5" s="17" t="n">
        <v>15.16</v>
      </c>
      <c r="C5" s="17" t="n">
        <v>7.45</v>
      </c>
      <c r="D5" s="17" t="n">
        <v>10</v>
      </c>
      <c r="F5" s="9" t="inlineStr">
        <is>
          <t>El precio Persán está un 34% por debajo del precio medio actual del palet nuevo.</t>
        </is>
      </c>
    </row>
    <row r="6">
      <c r="A6" s="12" t="inlineStr">
        <is>
          <t>Materia prima (madera y clavos)</t>
        </is>
      </c>
      <c r="B6" s="17" t="n">
        <v>8.27</v>
      </c>
      <c r="C6" s="17" t="n">
        <v>4.8</v>
      </c>
      <c r="D6" s="17" t="n">
        <v>8.27</v>
      </c>
      <c r="F6" s="9" t="inlineStr">
        <is>
          <t>IDÉNTICA en manual y Persán: el robot no reduce el coste de la madera.</t>
        </is>
      </c>
    </row>
    <row r="7">
      <c r="A7" s="12" t="inlineStr">
        <is>
          <t>Mano de obra directa (MOD)</t>
        </is>
      </c>
      <c r="B7" s="17" t="n">
        <v>2.18</v>
      </c>
      <c r="C7" s="17" t="n">
        <v>1.02</v>
      </c>
      <c r="D7" s="17" t="n">
        <v>0.42</v>
      </c>
      <c r="F7" s="9" t="inlineStr">
        <is>
          <t>(1) 90.000 ud/año con un solo operario: 38.000 € / 90.000 = 0,42 €.</t>
        </is>
      </c>
    </row>
    <row r="8">
      <c r="A8" s="12" t="inlineStr">
        <is>
          <t>Gastos de transporte</t>
        </is>
      </c>
      <c r="B8" s="17" t="n">
        <v>0.62</v>
      </c>
      <c r="C8" s="17" t="n">
        <v>0.62</v>
      </c>
      <c r="D8" s="17" t="n">
        <v>0.53</v>
      </c>
      <c r="F8" s="9" t="inlineStr">
        <is>
          <t>(2) Considera el nuevo tráiler propio a plena carga en las rutas de Persán.</t>
        </is>
      </c>
    </row>
    <row r="9">
      <c r="A9" s="12" t="inlineStr">
        <is>
          <t>Otros costes de explotación variables</t>
        </is>
      </c>
      <c r="B9" s="17" t="n">
        <v>1.3</v>
      </c>
      <c r="C9" s="17" t="n">
        <v>0.58</v>
      </c>
      <c r="D9" s="17" t="n">
        <v>1.3</v>
      </c>
      <c r="F9" s="9" t="inlineStr">
        <is>
          <t>(3) Varían proporcionalmente al volumen (electricidad, mantenimiento, etc.).</t>
        </is>
      </c>
    </row>
    <row r="10">
      <c r="A10" s="26" t="inlineStr">
        <is>
          <t>COSTE DE PRODUCCIÓN UNITARIO</t>
        </is>
      </c>
      <c r="B10" s="41">
        <f>SUM(B6:B9)</f>
        <v>12.37</v>
      </c>
      <c r="C10" s="41">
        <f>SUM(C6:C9)</f>
        <v>7.0200000000000005</v>
      </c>
      <c r="D10" s="41">
        <f>SUM(D6:D9)</f>
        <v>10.52</v>
      </c>
      <c r="E10" s="29" t="n"/>
      <c r="F10" s="42" t="inlineStr">
        <is>
          <t>El anexo publica 12,36 € en manual; la suma exacta da 12,37 €. Redondeo de 0,01 €, sin efecto material.</t>
        </is>
      </c>
    </row>
    <row r="11">
      <c r="A11" s="26" t="inlineStr">
        <is>
          <t>MARGEN DE CONTRIBUCIÓN UNITARIO</t>
        </is>
      </c>
      <c r="B11" s="41">
        <f>B5-B10</f>
        <v>2.790000000000001</v>
      </c>
      <c r="C11" s="41">
        <f>C5-C10</f>
        <v>0.4299999999999997</v>
      </c>
      <c r="D11" s="43">
        <f>D5-D10</f>
        <v>-0.5199999999999996</v>
      </c>
      <c r="F11" s="44" t="inlineStr">
        <is>
          <t>HALLAZGO CENTRAL: el margen del proyecto Persán es NEGATIVO. Ni siquiera cubre los costes variables.</t>
        </is>
      </c>
    </row>
    <row r="12">
      <c r="A12" s="12" t="inlineStr">
        <is>
          <t>Margen sobre precio de venta</t>
        </is>
      </c>
      <c r="B12" s="30">
        <f>B11/B5</f>
        <v>0.18403693931398424</v>
      </c>
      <c r="C12" s="30">
        <f>C11/C5</f>
        <v>0.05771812080536909</v>
      </c>
      <c r="D12" s="30">
        <f>D11/D5</f>
        <v>-0.051999999999999956</v>
      </c>
    </row>
    <row r="13">
      <c r="A13" s="12" t="inlineStr">
        <is>
          <t>Peso de la materia prima sobre el precio</t>
        </is>
      </c>
      <c r="B13" s="30">
        <f>B6/B5</f>
        <v>0.5455145118733509</v>
      </c>
      <c r="C13" s="30">
        <f>C6/C5</f>
        <v>0.6442953020134228</v>
      </c>
      <c r="D13" s="30">
        <f>D6/D5</f>
        <v>0.827</v>
      </c>
      <c r="F13" s="9" t="inlineStr">
        <is>
          <t>En Persán la madera se come el 83% del precio. Sin cláusula de revisión a 5 años, es el riesgo principal del contrato.</t>
        </is>
      </c>
    </row>
    <row r="15">
      <c r="A15" s="3" t="inlineStr">
        <is>
          <t>RECONCILIACIÓN DEL ESCANDALLO CON LA CUENTA DE RESULTADOS</t>
        </is>
      </c>
      <c r="B15" s="4" t="n"/>
      <c r="C15" s="4" t="n"/>
      <c r="D15" s="4" t="n"/>
      <c r="E15" s="4" t="n"/>
      <c r="F15" s="4" t="n"/>
    </row>
    <row r="16">
      <c r="A16" s="25" t="inlineStr">
        <is>
          <t>Partida</t>
        </is>
      </c>
      <c r="B16" s="25" t="inlineStr">
        <is>
          <t>Según escandallo</t>
        </is>
      </c>
      <c r="C16" s="25" t="inlineStr">
        <is>
          <t>Según Anexo 1</t>
        </is>
      </c>
      <c r="D16" s="25" t="inlineStr">
        <is>
          <t>Diferencia</t>
        </is>
      </c>
      <c r="E16" s="25" t="inlineStr">
        <is>
          <t>% desvío</t>
        </is>
      </c>
      <c r="F16" s="25" t="inlineStr">
        <is>
          <t>Lectura</t>
        </is>
      </c>
    </row>
    <row r="17">
      <c r="A17" s="12" t="inlineStr">
        <is>
          <t>Materia prima (consumo real)</t>
        </is>
      </c>
      <c r="B17" s="18">
        <f>Escandallo!$B$6*Lineas!$B$7+Escandallo!$C$6*Lineas!$C$7</f>
        <v>2692732.08</v>
      </c>
      <c r="C17" s="33">
        <f>-(PyG2025!$B$7+PyG2025!$B$6)</f>
        <v>2692444.0</v>
      </c>
      <c r="D17" s="18">
        <f>B17-C17</f>
        <v>288.0800000000745</v>
      </c>
      <c r="E17" s="30">
        <f>IF(C17=0,0,(B17-C17)/C17)</f>
        <v>0.00010699572581642349</v>
      </c>
      <c r="F17" s="9" t="inlineStr">
        <is>
          <t>Consumo = Aprovisionamientos − Variación de existencias. Cuadra al 0,01%.</t>
        </is>
      </c>
    </row>
    <row r="18">
      <c r="A18" s="12" t="inlineStr">
        <is>
          <t>Gastos de transporte</t>
        </is>
      </c>
      <c r="B18" s="18">
        <f>Escandallo!$B$8*Lineas!$B$7+Escandallo!$C$8*Lineas!$C$7</f>
        <v>269597.08</v>
      </c>
      <c r="C18" s="33">
        <f>-PyG2025!$B$10</f>
        <v>268218.0</v>
      </c>
      <c r="D18" s="18">
        <f>B18-C18</f>
        <v>1379.0800000000163</v>
      </c>
      <c r="E18" s="30">
        <f>IF(C18=0,0,(B18-C18)/C18)</f>
        <v>0.0051416385179220495</v>
      </c>
      <c r="F18" s="9" t="inlineStr">
        <is>
          <t>Cuadra.</t>
        </is>
      </c>
    </row>
    <row r="19">
      <c r="A19" s="12" t="inlineStr">
        <is>
          <t>Otros costes de explotación</t>
        </is>
      </c>
      <c r="B19" s="18">
        <f>Escandallo!$B$9*Lineas!$B$7+Escandallo!$C$9*Lineas!$C$7</f>
        <v>377846.6</v>
      </c>
      <c r="C19" s="33">
        <f>-PyG2025!$B$12</f>
        <v>378979.0</v>
      </c>
      <c r="D19" s="18">
        <f>B19-C19</f>
        <v>-1132.4000000000233</v>
      </c>
      <c r="E19" s="30">
        <f>IF(C19=0,0,(B19-C19)/C19)</f>
        <v>-0.002988028360410533</v>
      </c>
      <c r="F19" s="9" t="inlineStr">
        <is>
          <t>Cuadra.</t>
        </is>
      </c>
    </row>
    <row r="20">
      <c r="A20" s="12" t="inlineStr">
        <is>
          <t>Mano de obra directa</t>
        </is>
      </c>
      <c r="B20" s="18">
        <f>Escandallo!$B$7*Lineas!$B$7+Escandallo!$C$7*Lineas!$C$7</f>
        <v>645955.3200000001</v>
      </c>
      <c r="C20" s="33">
        <f>-PyG2025!$B$9</f>
        <v>481660.0</v>
      </c>
      <c r="D20" s="18">
        <f>B20-C20</f>
        <v>164295.32000000007</v>
      </c>
      <c r="E20" s="30">
        <f>IF(C20=0,0,(B20-C20)/C20)</f>
        <v>0.3411022713117138</v>
      </c>
      <c r="F20" s="9" t="inlineStr">
        <is>
          <t>NO cuadra: el escandallo recoge 17 operarios × 38.000 € = 646.000 €, mientras el Anexo 1 imputa 481.660 € a Producción. Parte de la plantilla directa está clasificada en Estructura. No invalida el escandallo.</t>
        </is>
      </c>
    </row>
    <row r="22">
      <c r="A22" s="3" t="inlineStr">
        <is>
          <t>Comprobación de plantilla directa implícita en el escandallo</t>
        </is>
      </c>
      <c r="B22" s="4" t="n"/>
      <c r="C22" s="4" t="n"/>
      <c r="D22" s="4" t="n"/>
      <c r="E22" s="4" t="n"/>
      <c r="F22" s="4" t="n"/>
    </row>
    <row r="23">
      <c r="A23" s="12" t="inlineStr">
        <is>
          <t>Operarios implícitos — palet nuevo</t>
        </is>
      </c>
      <c r="B23" s="20">
        <f>Escandallo!$B$7*Lineas!$B$7/Datos!$B$9</f>
        <v>10.011018947368422</v>
      </c>
      <c r="F23" s="9" t="inlineStr">
        <is>
          <t>Da 10 operarios: los 8 de manual más los 2 de la línea automática. Coherente.</t>
        </is>
      </c>
    </row>
    <row r="24">
      <c r="A24" s="12" t="inlineStr">
        <is>
          <t>Operarios implícitos — palet usado</t>
        </is>
      </c>
      <c r="B24" s="20">
        <f>Escandallo!$C$7*Lineas!$C$7/Datos!$B$9</f>
        <v>6.987805263157894</v>
      </c>
      <c r="F24" s="9" t="inlineStr">
        <is>
          <t>Da 7 operarios. Coincide exactamente con el dato del caso: el escandallo es fiable.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56" customWidth="1" min="6" max="6"/>
  </cols>
  <sheetData>
    <row r="1">
      <c r="A1" s="1" t="inlineStr">
        <is>
          <t>Capacidad productiva — el dato que el caso no da hecho</t>
        </is>
      </c>
    </row>
    <row r="2">
      <c r="A2" s="2" t="inlineStr">
        <is>
          <t>El caso da rendimientos por hora y por jornada, pero nunca la capacidad anual. Sin ella no se puede saber si Persán cabe en la fábrica.</t>
        </is>
      </c>
    </row>
    <row r="4">
      <c r="A4" s="3" t="inlineStr">
        <is>
          <t>A. CAPACIDAD ACTUAL DE LA LÍNEA DE PALET NUEVO</t>
        </is>
      </c>
      <c r="B4" s="4" t="n"/>
      <c r="C4" s="4" t="n"/>
      <c r="D4" s="4" t="n"/>
      <c r="E4" s="4" t="n"/>
      <c r="F4" s="4" t="n"/>
    </row>
    <row r="5">
      <c r="A5" s="25" t="inlineStr">
        <is>
          <t>Recurso</t>
        </is>
      </c>
      <c r="B5" s="25" t="inlineStr">
        <is>
          <t>Palets/día</t>
        </is>
      </c>
      <c r="C5" s="25" t="inlineStr">
        <is>
          <t>Días/año</t>
        </is>
      </c>
      <c r="D5" s="25" t="inlineStr">
        <is>
          <t>Palets/año</t>
        </is>
      </c>
      <c r="E5" s="25" t="inlineStr">
        <is>
          <t>Operarios</t>
        </is>
      </c>
      <c r="F5" s="25" t="inlineStr">
        <is>
          <t>Cálculo</t>
        </is>
      </c>
    </row>
    <row r="6">
      <c r="A6" s="12" t="inlineStr">
        <is>
          <t>Línea automática (2019)</t>
        </is>
      </c>
      <c r="B6" s="14">
        <f>Datos!$B$21*Datos!$B$22*Datos!$B$8</f>
        <v>390.0</v>
      </c>
      <c r="C6" s="45">
        <f>Datos!$B$7</f>
        <v>242.0</v>
      </c>
      <c r="D6" s="14">
        <f>B6*C6</f>
        <v>94380.0</v>
      </c>
      <c r="E6" s="45">
        <f>Datos!$B$23</f>
        <v>2.0</v>
      </c>
      <c r="F6" s="9" t="inlineStr">
        <is>
          <t>65 palets/h × 75% de rendimiento × 8 h de jornada.</t>
        </is>
      </c>
    </row>
    <row r="7">
      <c r="A7" s="12" t="inlineStr">
        <is>
          <t>Fabricación manual</t>
        </is>
      </c>
      <c r="B7" s="45">
        <f>Datos!$B$32</f>
        <v>500.0</v>
      </c>
      <c r="C7" s="45">
        <f>Datos!$B$7</f>
        <v>242.0</v>
      </c>
      <c r="D7" s="14">
        <f>B7*C7</f>
        <v>121000.0</v>
      </c>
      <c r="E7" s="45">
        <f>Datos!$B$31</f>
        <v>8.0</v>
      </c>
      <c r="F7" s="9" t="inlineStr">
        <is>
          <t>500 palets/día entre 8 operarios = 62,5 palets por operario y día.</t>
        </is>
      </c>
    </row>
    <row r="8">
      <c r="A8" s="26" t="inlineStr">
        <is>
          <t>CAPACIDAD ACTUAL TOTAL</t>
        </is>
      </c>
      <c r="B8" s="46">
        <f>B6+B7</f>
        <v>890.0</v>
      </c>
      <c r="C8" s="29" t="n"/>
      <c r="D8" s="46">
        <f>D6+D7</f>
        <v>215380.0</v>
      </c>
      <c r="E8" s="46">
        <f>E6+E7</f>
        <v>10.0</v>
      </c>
      <c r="F8" s="29" t="n"/>
    </row>
    <row r="10">
      <c r="A10" s="3" t="inlineStr">
        <is>
          <t>B. GRADO DE UTILIZACIÓN ACTUAL</t>
        </is>
      </c>
      <c r="B10" s="4" t="n"/>
      <c r="C10" s="4" t="n"/>
      <c r="D10" s="4" t="n"/>
      <c r="E10" s="4" t="n"/>
      <c r="F10" s="4" t="n"/>
    </row>
    <row r="11">
      <c r="A11" s="12" t="inlineStr">
        <is>
          <t>Producción real 2025 (palet nuevo)</t>
        </is>
      </c>
      <c r="B11" s="45">
        <f>Lineas!$B$7</f>
        <v>174504.0</v>
      </c>
    </row>
    <row r="12">
      <c r="A12" s="12" t="inlineStr">
        <is>
          <t>Capacidad teórica anual</t>
        </is>
      </c>
      <c r="B12" s="45">
        <f>Capacidad!$D$8</f>
        <v>215380.0</v>
      </c>
    </row>
    <row r="13">
      <c r="A13" s="5" t="inlineStr">
        <is>
          <t>GRADO DE UTILIZACIÓN</t>
        </is>
      </c>
      <c r="B13" s="47">
        <f>B11/B12</f>
        <v>0.8102145045965271</v>
      </c>
      <c r="F13" s="9" t="inlineStr">
        <is>
          <t>La fábrica NO está llena: hay recorrido antes de invertir.</t>
        </is>
      </c>
    </row>
    <row r="14">
      <c r="A14" s="5" t="inlineStr">
        <is>
          <t>Capacidad ociosa disponible hoy</t>
        </is>
      </c>
      <c r="B14" s="39">
        <f>B12-B11</f>
        <v>40876.0</v>
      </c>
      <c r="F14" s="9" t="inlineStr">
        <is>
          <t>Casi 41.000 palets/año que hoy se pueden fabricar sin invertir un euro. Esto debilita el argumento de que la máquina es imprescindible.</t>
        </is>
      </c>
    </row>
    <row r="16">
      <c r="A16" s="3" t="inlineStr">
        <is>
          <t>C. EL ROBOT Y EL ENCAJE DEL CONTRATO PERSÁN</t>
        </is>
      </c>
      <c r="B16" s="4" t="n"/>
      <c r="C16" s="4" t="n"/>
      <c r="D16" s="4" t="n"/>
      <c r="E16" s="4" t="n"/>
      <c r="F16" s="4" t="n"/>
    </row>
    <row r="17">
      <c r="A17" s="12" t="inlineStr">
        <is>
          <t>Robot — producción efectiva (palets/día)</t>
        </is>
      </c>
      <c r="B17" s="14">
        <f>Datos!$B$43*Datos!$B$44</f>
        <v>360.0</v>
      </c>
      <c r="F17" s="9" t="inlineStr">
        <is>
          <t>400 palets/jornada × 90% de rendimiento.</t>
        </is>
      </c>
    </row>
    <row r="18">
      <c r="A18" s="12" t="inlineStr">
        <is>
          <t>Robot — capacidad anual (palets)</t>
        </is>
      </c>
      <c r="B18" s="39">
        <f>B17*Datos!$B$7</f>
        <v>87120.0</v>
      </c>
    </row>
    <row r="19">
      <c r="A19" s="12" t="inlineStr">
        <is>
          <t>Persán — necesidad diaria (palets/día)</t>
        </is>
      </c>
      <c r="B19" s="20">
        <f>Datos!$B$14/Datos!$B$7</f>
        <v>371.900826446281</v>
      </c>
      <c r="F19" s="9" t="inlineStr">
        <is>
          <t>90.000 / 242 días.</t>
        </is>
      </c>
    </row>
    <row r="20">
      <c r="A20" s="12" t="inlineStr">
        <is>
          <t>Persán — necesidad anual (palets)</t>
        </is>
      </c>
      <c r="B20" s="45">
        <f>Datos!$B$14</f>
        <v>90000.0</v>
      </c>
    </row>
    <row r="21">
      <c r="A21" s="12" t="inlineStr">
        <is>
          <t>DÉFICIT/SUPERÁVIT del robot frente a Persán</t>
        </is>
      </c>
      <c r="B21" s="48">
        <f>B18-B20</f>
        <v>-2880.0</v>
      </c>
      <c r="F21" s="9" t="inlineStr">
        <is>
          <t>El robot en solitario NO llega a las 90.000 unidades: se queda un 3,2% corto. Habría que completarlo con las otras líneas o con días extra.</t>
        </is>
      </c>
    </row>
    <row r="22">
      <c r="A22" s="12" t="inlineStr">
        <is>
          <t>Déficit en % del compromiso</t>
        </is>
      </c>
      <c r="B22" s="30">
        <f>B21/B20</f>
        <v>-0.032</v>
      </c>
    </row>
    <row r="24">
      <c r="A24" s="3" t="inlineStr">
        <is>
          <t>D. ¿CABE PERSÁN EN LA FÁBRICA? (con y sin robot)</t>
        </is>
      </c>
      <c r="B24" s="4" t="n"/>
      <c r="C24" s="4" t="n"/>
      <c r="D24" s="4" t="n"/>
      <c r="E24" s="4" t="n"/>
      <c r="F24" s="4" t="n"/>
    </row>
    <row r="25">
      <c r="A25" s="25" t="inlineStr">
        <is>
          <t>Escenario</t>
        </is>
      </c>
      <c r="B25" s="25" t="inlineStr">
        <is>
          <t>Capacidad anual</t>
        </is>
      </c>
      <c r="C25" s="25" t="inlineStr">
        <is>
          <t>Demanda anual</t>
        </is>
      </c>
      <c r="D25" s="25" t="inlineStr">
        <is>
          <t>Holgura</t>
        </is>
      </c>
      <c r="E25" s="25" t="inlineStr">
        <is>
          <t>¿Encaja?</t>
        </is>
      </c>
      <c r="F25" s="25" t="inlineStr">
        <is>
          <t>Lectura</t>
        </is>
      </c>
    </row>
    <row r="26">
      <c r="A26" s="12" t="inlineStr">
        <is>
          <t>Sin robot, sin Persán</t>
        </is>
      </c>
      <c r="B26" s="14">
        <f>Capacidad!$D$8</f>
        <v>215380.0</v>
      </c>
      <c r="C26" s="14">
        <f>Lineas!$B$7</f>
        <v>174504.0</v>
      </c>
      <c r="D26" s="39">
        <f>B26-C26</f>
        <v>40876.0</v>
      </c>
      <c t="str" r="E26" s="49">
        <f>IF(D26&gt;=0,"SÍ","NO")</f>
        <v>SÍ</v>
      </c>
      <c r="F26" s="9" t="inlineStr">
        <is>
          <t>Situación actual: sobra capacidad.</t>
        </is>
      </c>
    </row>
    <row r="27">
      <c r="A27" s="12" t="inlineStr">
        <is>
          <t>Sin robot, CON Persán</t>
        </is>
      </c>
      <c r="B27" s="14">
        <f>Capacidad!$D$8</f>
        <v>215380.0</v>
      </c>
      <c r="C27" s="14">
        <f>Lineas!$B$7+Datos!$B$14</f>
        <v>264504.0</v>
      </c>
      <c r="D27" s="39">
        <f>B27-C27</f>
        <v>-49124.0</v>
      </c>
      <c t="str" r="E27" s="49">
        <f>IF(D27&gt;=0,"SÍ","NO")</f>
        <v>NO</v>
      </c>
      <c r="F27" s="9" t="inlineStr">
        <is>
          <t>NO cabe: faltan unas 49.000 unidades. Hace falta capacidad nueva sí o sí.</t>
        </is>
      </c>
    </row>
    <row r="28">
      <c r="A28" s="12" t="inlineStr">
        <is>
          <t>Con robot, CON Persán</t>
        </is>
      </c>
      <c r="B28" s="14">
        <f>Capacidad!$D$8+Capacidad!$B$18</f>
        <v>302500.0</v>
      </c>
      <c r="C28" s="14">
        <f>Lineas!$B$7+Datos!$B$14</f>
        <v>264504.0</v>
      </c>
      <c r="D28" s="39">
        <f>B28-C28</f>
        <v>37996.0</v>
      </c>
      <c t="str" r="E28" s="49">
        <f>IF(D28&gt;=0,"SÍ","NO")</f>
        <v>SÍ</v>
      </c>
      <c r="F28" s="9" t="inlineStr">
        <is>
          <t>Cabe con holgura. Técnicamente el proyecto es viable; el problema es económico.</t>
        </is>
      </c>
    </row>
    <row r="29">
      <c r="A29" s="12" t="inlineStr">
        <is>
          <t>Con robot, SIN Persán</t>
        </is>
      </c>
      <c r="B29" s="14">
        <f>Capacidad!$D$8+Capacidad!$B$18</f>
        <v>302500.0</v>
      </c>
      <c r="C29" s="14">
        <f>Lineas!$B$7</f>
        <v>174504.0</v>
      </c>
      <c r="D29" s="39">
        <f>B29-C29</f>
        <v>127996.0</v>
      </c>
      <c t="str" r="E29" s="49">
        <f>IF(D29&gt;=0,"SÍ","NO")</f>
        <v>SÍ</v>
      </c>
      <c r="F29" s="9" t="inlineStr">
        <is>
          <t>Enorme capacidad ociosa: el robot solo tiene sentido si hay demanda que lo llene.</t>
        </is>
      </c>
    </row>
    <row r="31">
      <c r="A31" s="3" t="inlineStr">
        <is>
          <t>E. LÍNEA DE PALET USADO: CRECIMIENTO BLOQUEADO POR ESPACIO</t>
        </is>
      </c>
      <c r="B31" s="4" t="n"/>
      <c r="C31" s="4" t="n"/>
      <c r="D31" s="4" t="n"/>
      <c r="E31" s="4" t="n"/>
      <c r="F31" s="4" t="n"/>
    </row>
    <row r="32">
      <c r="A32" s="12" t="inlineStr">
        <is>
          <t>Producción actual (palets/año)</t>
        </is>
      </c>
      <c r="B32" s="45">
        <f>Lineas!$C$7</f>
        <v>260330.0</v>
      </c>
    </row>
    <row r="33">
      <c r="A33" s="12" t="inlineStr">
        <is>
          <t>Producción actual (palets/mes)</t>
        </is>
      </c>
      <c r="B33" s="14">
        <f>B32/12</f>
        <v>21694.166666666668</v>
      </c>
    </row>
    <row r="34">
      <c r="A34" s="12" t="inlineStr">
        <is>
          <t>Techo logístico (palets/año)</t>
        </is>
      </c>
      <c r="B34" s="45">
        <f>Datos!$B$39</f>
        <v>360000.0</v>
      </c>
      <c r="F34" s="9" t="inlineStr">
        <is>
          <t>30.000 unidades/mes. El límite es el ESPACIO, no la demanda.</t>
        </is>
      </c>
    </row>
    <row r="35">
      <c r="A35" s="12" t="inlineStr">
        <is>
          <t>Recorrido disponible (palets/año)</t>
        </is>
      </c>
      <c r="B35" s="39">
        <f>B34-B32</f>
        <v>99670.0</v>
      </c>
    </row>
    <row r="36">
      <c r="A36" s="12" t="inlineStr">
        <is>
          <t>Contribución del recorrido (€/año)</t>
        </is>
      </c>
      <c r="B36" s="38">
        <f>B35*Escandallo!$C$11</f>
        <v>42858.09999999997</v>
      </c>
      <c r="F36" s="9" t="inlineStr">
        <is>
          <t>Con margen de 0,43 €/ud. Por sí solo no paga la campa de 60.000 €/año, pero sí reparte su coste con una línea que SÍ gana dinero.</t>
        </is>
      </c>
    </row>
    <row r="37">
      <c r="A37" s="12" t="inlineStr">
        <is>
          <t>Operarios necesarios para alcanzar el techo</t>
        </is>
      </c>
      <c r="B37" s="20">
        <f>Datos!$B$39/(Datos!$B$7*Datos!$B$37)</f>
        <v>9.59744068248467</v>
      </c>
    </row>
    <row r="38">
      <c r="A38" s="12" t="inlineStr">
        <is>
          <t>Operarios adicionales frente a los 7 actuales</t>
        </is>
      </c>
      <c r="B38" s="50">
        <f>B37-Datos!$B$36</f>
        <v>2.5974406824846703</v>
      </c>
      <c r="F38" s="9" t="inlineStr">
        <is>
          <t>OPORTUNIDAD: el robot libera personal de palet nuevo; esta línea necesita personal y solo le falta espacio. La campa de Persán resolvería ambas cosas.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4" customWidth="1" min="4" max="4"/>
    <col width="12" customWidth="1" min="5" max="5"/>
    <col width="54" customWidth="1" min="6" max="6"/>
  </cols>
  <sheetData>
    <row r="1">
      <c r="A1" s="1" t="inlineStr">
        <is>
          <t>Análisis económico del contrato Persán</t>
        </is>
      </c>
    </row>
    <row r="2">
      <c r="A2" s="2" t="inlineStr">
        <is>
          <t>90.000 unidades/año · 10 €/unidad fijo durante 5 años · cobro a 180 días · retén permanente de 1.000 palets.</t>
        </is>
      </c>
    </row>
    <row r="4">
      <c r="A4" s="3" t="inlineStr">
        <is>
          <t>A. CUENTA DE RESULTADOS INCREMENTAL DEL CONTRATO (año completo)</t>
        </is>
      </c>
      <c r="B4" s="4" t="n"/>
      <c r="C4" s="4" t="n"/>
      <c r="D4" s="4" t="n"/>
      <c r="E4" s="4" t="n"/>
      <c r="F4" s="4" t="n"/>
    </row>
    <row r="5">
      <c r="A5" s="12" t="inlineStr">
        <is>
          <t>Ingresos (90.000 ud × 10 €)</t>
        </is>
      </c>
      <c r="B5" s="18">
        <f>Datos!$B$14*Datos!$B$15</f>
        <v>900000.0</v>
      </c>
    </row>
    <row r="6">
      <c r="A6" s="12" t="inlineStr">
        <is>
          <t>Costes variables (90.000 ud × 10,52 €)</t>
        </is>
      </c>
      <c r="B6" s="18">
        <f>-Datos!$B$14*Escandallo!$D$10</f>
        <v>-946800.0</v>
      </c>
    </row>
    <row r="7">
      <c r="A7" s="26" t="inlineStr">
        <is>
          <t>MARGEN DE CONTRIBUCIÓN</t>
        </is>
      </c>
      <c r="B7" s="27">
        <f>B5+B6</f>
        <v>-46800.0</v>
      </c>
      <c r="C7" s="29" t="n"/>
      <c r="D7" s="29" t="n"/>
      <c r="E7" s="29" t="n"/>
      <c r="F7" s="42" t="inlineStr">
        <is>
          <t>Negativo ANTES de cualquier coste fijo. Ningún volumen arregla esto.</t>
        </is>
      </c>
    </row>
    <row r="8">
      <c r="A8" s="12" t="inlineStr">
        <is>
          <t>Alquiler de la campa</t>
        </is>
      </c>
      <c r="B8" s="33">
        <f>-Datos!$B$50</f>
        <v>-60000.0</v>
      </c>
      <c r="F8" s="9" t="inlineStr">
        <is>
          <t>5.000 €/mes.</t>
        </is>
      </c>
    </row>
    <row r="9">
      <c r="A9" s="12" t="inlineStr">
        <is>
          <t>Leasing de máquina + camión</t>
        </is>
      </c>
      <c r="B9" s="33">
        <f>-Datos!$B$53</f>
        <v>-48000.0</v>
      </c>
      <c r="F9" s="9" t="inlineStr">
        <is>
          <t>4.000 €/mes.</t>
        </is>
      </c>
    </row>
    <row r="10">
      <c r="A10" s="26" t="inlineStr">
        <is>
          <t>RESULTADO ANTES DE COSTE DE CIRCULANTE</t>
        </is>
      </c>
      <c r="B10" s="27">
        <f>B7+B8+B9</f>
        <v>-154800.0</v>
      </c>
      <c r="C10" s="29" t="n"/>
      <c r="D10" s="29" t="n"/>
      <c r="E10" s="29" t="n"/>
      <c r="F10" s="29" t="n"/>
    </row>
    <row r="12">
      <c r="A12" s="3" t="inlineStr">
        <is>
          <t>B. NECESIDADES DE CIRCULANTE (el coste oculto del pago a 180 días)</t>
        </is>
      </c>
      <c r="B12" s="4" t="n"/>
      <c r="C12" s="4" t="n"/>
      <c r="D12" s="4" t="n"/>
      <c r="E12" s="4" t="n"/>
      <c r="F12" s="4" t="n"/>
    </row>
    <row r="13">
      <c r="A13" s="12" t="inlineStr">
        <is>
          <t>Cuenta a cobrar media (€)</t>
        </is>
      </c>
      <c r="B13" s="18">
        <f>Datos!$B$14*Datos!$B$15*Datos!$B$17/365</f>
        <v>443835.61643835617</v>
      </c>
      <c r="F13" s="9" t="inlineStr">
        <is>
          <t>Ingresos × 180/365. Dinero de Alcopalet en manos de Persán de forma permanente.</t>
        </is>
      </c>
    </row>
    <row r="14">
      <c r="A14" s="12" t="inlineStr">
        <is>
          <t>Retén permanente de 1.000 palets, a coste (€)</t>
        </is>
      </c>
      <c r="B14" s="18">
        <f>Datos!$B$18*Escandallo!$D$10</f>
        <v>10520.0</v>
      </c>
      <c r="F14" s="9" t="inlineStr">
        <is>
          <t>Stock inmovilizado que exige el cliente para servir en menos de 24 horas.</t>
        </is>
      </c>
    </row>
    <row r="15">
      <c r="A15" s="12" t="inlineStr">
        <is>
          <t>CIRCULANTE TOTAL INMOVILIZADO (€)</t>
        </is>
      </c>
      <c r="B15" s="38">
        <f>B13+B14</f>
        <v>454355.61643835617</v>
      </c>
    </row>
    <row r="16">
      <c r="A16" s="12" t="inlineStr">
        <is>
          <t>Coste financiero anual del circulante (€)</t>
        </is>
      </c>
      <c r="B16" s="38">
        <f>-B15*Datos!$B$11</f>
        <v>-34076.67123287671</v>
      </c>
      <c r="F16" s="9" t="inlineStr">
        <is>
          <t>Al 7,5% ofrecido por el banco. Es un coste real, aunque no aparezca en el escandallo.</t>
        </is>
      </c>
    </row>
    <row r="18">
      <c r="A18" s="3" t="inlineStr">
        <is>
          <t>C. IMPACTO TOTAL DEL CONTRATO</t>
        </is>
      </c>
      <c r="B18" s="4" t="n"/>
      <c r="C18" s="4" t="n"/>
      <c r="D18" s="4" t="n"/>
      <c r="E18" s="4" t="n"/>
      <c r="F18" s="4" t="n"/>
    </row>
    <row r="19">
      <c r="A19" s="51" t="inlineStr">
        <is>
          <t>IMPACTO ANUAL TOTAL ESTIMADO</t>
        </is>
      </c>
      <c r="B19" s="52">
        <f>Persan!$B$10+Persan!$B$16</f>
        <v>-188876.67123287672</v>
      </c>
      <c r="C19" s="36" t="n"/>
      <c r="D19" s="36" t="n"/>
      <c r="E19" s="36" t="n"/>
      <c r="F19" s="37" t="inlineStr">
        <is>
          <t>Margen negativo + campa + leasing + coste del circulante.</t>
        </is>
      </c>
    </row>
    <row r="20">
      <c r="A20" s="12" t="inlineStr">
        <is>
          <t>En % del resultado neto actual de la empresa</t>
        </is>
      </c>
      <c r="B20" s="47">
        <f>Persan!$B$19/PyG2025!$B$19</f>
        <v>-0.676095242167483</v>
      </c>
      <c r="F20" s="9" t="inlineStr">
        <is>
          <t>El contrato se llevaría por delante dos tercios del beneficio de TODA la empresa.</t>
        </is>
      </c>
    </row>
    <row r="21">
      <c r="A21" s="12" t="inlineStr">
        <is>
          <t>Impacto acumulado a 5 años</t>
        </is>
      </c>
      <c r="B21" s="38">
        <f>Persan!$B$19*Datos!$B$16</f>
        <v>-944383.3561643836</v>
      </c>
      <c r="F21" s="9" t="inlineStr">
        <is>
          <t>Sin cláusula de revisión de precio, el daño se repite cada año.</t>
        </is>
      </c>
    </row>
    <row r="22">
      <c r="A22" s="12" t="inlineStr">
        <is>
          <t>Resultado neto de la empresa tras Persán</t>
        </is>
      </c>
      <c r="B22" s="38">
        <f>PyG2025!$B$19+Persan!$B$19</f>
        <v>90487.32876712328</v>
      </c>
      <c r="F22" s="9" t="inlineStr">
        <is>
          <t>La empresa entraría en pérdidas o quedaría al borde.</t>
        </is>
      </c>
    </row>
    <row r="24">
      <c r="A24" s="3" t="inlineStr">
        <is>
          <t>D. PRECIO DE EQUILIBRIO: ¿A CUÁNTO HABRÍA QUE VENDER?</t>
        </is>
      </c>
      <c r="B24" s="4" t="n"/>
      <c r="C24" s="4" t="n"/>
      <c r="D24" s="4" t="n"/>
      <c r="E24" s="4" t="n"/>
      <c r="F24" s="4" t="n"/>
    </row>
    <row r="25">
      <c r="A25" s="25" t="inlineStr">
        <is>
          <t>Nivel de cobertura</t>
        </is>
      </c>
      <c r="B25" s="25" t="inlineStr">
        <is>
          <t>Precio mínimo (€/ud)</t>
        </is>
      </c>
      <c r="C25" s="25" t="inlineStr">
        <is>
          <t>Diferencia vs 10 €</t>
        </is>
      </c>
      <c r="D25" s="25" t="inlineStr">
        <is>
          <t>% de subida</t>
        </is>
      </c>
      <c r="E25" s="25" t="inlineStr"/>
      <c r="F25" s="25" t="inlineStr">
        <is>
          <t>Qué cubre</t>
        </is>
      </c>
    </row>
    <row r="26">
      <c r="A26" s="12" t="inlineStr">
        <is>
          <t>1. Solo costes variables</t>
        </is>
      </c>
      <c r="B26" s="53">
        <f>Escandallo!$D$10</f>
        <v>10.52</v>
      </c>
      <c r="C26" s="40">
        <f>B26-Datos!$B$15</f>
        <v>0.5199999999999996</v>
      </c>
      <c r="D26" s="30">
        <f>B26/Datos!$B$15-1</f>
        <v>0.052000000000000046</v>
      </c>
      <c r="F26" s="9" t="inlineStr">
        <is>
          <t>Madera, mano de obra, transporte y otros variables.</t>
        </is>
      </c>
    </row>
    <row r="27">
      <c r="A27" s="12" t="inlineStr">
        <is>
          <t>2. + campa y leasing</t>
        </is>
      </c>
      <c r="B27" s="53">
        <f>Escandallo!$D$10+(Datos!$B$50+Datos!$B$53)/Datos!$B$14</f>
        <v>11.719999999999999</v>
      </c>
      <c r="C27" s="40">
        <f>B27-Datos!$B$15</f>
        <v>1.7199999999999989</v>
      </c>
      <c r="D27" s="30">
        <f>B27/Datos!$B$15-1</f>
        <v>0.17199999999999993</v>
      </c>
      <c r="F27" s="9" t="inlineStr">
        <is>
          <t>Añade los costes fijos que el contrato obliga a asumir.</t>
        </is>
      </c>
    </row>
    <row r="28">
      <c r="A28" s="54" t="inlineStr">
        <is>
          <t>3. + coste del circulante (equilibrio real)</t>
        </is>
      </c>
      <c r="B28" s="55">
        <f>(Datos!$B$14*Escandallo!$D$10+Datos!$B$50+Datos!$B$53)/(Datos!$B$14*(1-Datos!$B$17/365*Datos!$B$11))</f>
        <v>12.170128022759602</v>
      </c>
      <c r="C28" s="40">
        <f>B28-Datos!$B$15</f>
        <v>2.1701280227596023</v>
      </c>
      <c r="D28" s="30">
        <f>B28/Datos!$B$15-1</f>
        <v>0.21701280227596031</v>
      </c>
      <c r="F28" s="9" t="inlineStr">
        <is>
          <t>PRECIO DE EQUILIBRIO VERDADERO. Resuelve el precio que hace el resultado igual a cero.</t>
        </is>
      </c>
    </row>
    <row r="29">
      <c r="A29" s="12" t="inlineStr">
        <is>
          <t>4. + margen equivalente al negocio actual</t>
        </is>
      </c>
      <c r="B29" s="53">
        <f>B27+Escandallo!$B$11</f>
        <v>14.51</v>
      </c>
      <c r="C29" s="40">
        <f>B29-Datos!$B$15</f>
        <v>4.51</v>
      </c>
      <c r="D29" s="30">
        <f>B29/Datos!$B$15-1</f>
        <v>0.45100000000000007</v>
      </c>
      <c r="F29" s="9" t="inlineStr">
        <is>
          <t>Para que Persán sea tan rentable como el resto del palet nuevo (2,79 €/ud).</t>
        </is>
      </c>
    </row>
    <row r="31">
      <c r="A31" s="3" t="inlineStr">
        <is>
          <t>E. RIESGO DEL PRECIO DE LA MADERA (83% del precio de venta)</t>
        </is>
      </c>
      <c r="B31" s="4" t="n"/>
      <c r="C31" s="4" t="n"/>
      <c r="D31" s="4" t="n"/>
      <c r="E31" s="4" t="n"/>
      <c r="F31" s="4" t="n"/>
    </row>
    <row r="32">
      <c r="A32" s="25" t="inlineStr">
        <is>
          <t>Subida del precio de la madera</t>
        </is>
      </c>
      <c r="B32" s="25" t="inlineStr">
        <is>
          <t>Coste unitario (€)</t>
        </is>
      </c>
      <c r="C32" s="25" t="inlineStr">
        <is>
          <t>Margen unitario (€)</t>
        </is>
      </c>
      <c r="D32" s="25" t="inlineStr">
        <is>
          <t>Impacto anual (€)</t>
        </is>
      </c>
      <c r="E32" s="25" t="inlineStr"/>
      <c r="F32" s="25" t="inlineStr">
        <is>
          <t>Lectura</t>
        </is>
      </c>
    </row>
    <row r="33">
      <c r="A33" s="16" t="n">
        <v>0</v>
      </c>
      <c r="B33" s="40">
        <f>Escandallo!$D$6*(1+A33)+Escandallo!$D$7+Escandallo!$D$8+Escandallo!$D$9</f>
        <v>10.52</v>
      </c>
      <c r="C33" s="40">
        <f>Datos!$B$15-B33</f>
        <v>-0.5199999999999996</v>
      </c>
      <c r="D33" s="38">
        <f>C33*Datos!$B$14-Datos!$B$50-Datos!$B$53+Persan!$B$16</f>
        <v>-188876.6712328767</v>
      </c>
    </row>
    <row r="34">
      <c r="A34" s="16" t="n">
        <v>0.05</v>
      </c>
      <c r="B34" s="40">
        <f>Escandallo!$D$6*(1+A34)+Escandallo!$D$7+Escandallo!$D$8+Escandallo!$D$9</f>
        <v>10.9335</v>
      </c>
      <c r="C34" s="40">
        <f>Datos!$B$15-B34</f>
        <v>-0.9335000000000004</v>
      </c>
      <c r="D34" s="38">
        <f>C34*Datos!$B$14-Datos!$B$50-Datos!$B$53+Persan!$B$16</f>
        <v>-226091.67123287678</v>
      </c>
    </row>
    <row r="35">
      <c r="A35" s="16" t="n">
        <v>0.1</v>
      </c>
      <c r="B35" s="40">
        <f>Escandallo!$D$6*(1+A35)+Escandallo!$D$7+Escandallo!$D$8+Escandallo!$D$9</f>
        <v>11.347</v>
      </c>
      <c r="C35" s="40">
        <f>Datos!$B$15-B35</f>
        <v>-1.3469999999999995</v>
      </c>
      <c r="D35" s="38">
        <f>C35*Datos!$B$14-Datos!$B$50-Datos!$B$53+Persan!$B$16</f>
        <v>-263306.67123287666</v>
      </c>
    </row>
    <row r="36">
      <c r="A36" s="16" t="n">
        <v>0.15</v>
      </c>
      <c r="B36" s="40">
        <f>Escandallo!$D$6*(1+A36)+Escandallo!$D$7+Escandallo!$D$8+Escandallo!$D$9</f>
        <v>11.760499999999999</v>
      </c>
      <c r="C36" s="40">
        <f>Datos!$B$15-B36</f>
        <v>-1.7604999999999986</v>
      </c>
      <c r="D36" s="38">
        <f>C36*Datos!$B$14-Datos!$B$50-Datos!$B$53+Persan!$B$16</f>
        <v>-300521.6712328766</v>
      </c>
    </row>
    <row r="37">
      <c r="A37" s="16" t="n">
        <v>0.2</v>
      </c>
      <c r="B37" s="40">
        <f>Escandallo!$D$6*(1+A37)+Escandallo!$D$7+Escandallo!$D$8+Escandallo!$D$9</f>
        <v>12.174</v>
      </c>
      <c r="C37" s="40">
        <f>Datos!$B$15-B37</f>
        <v>-2.1739999999999995</v>
      </c>
      <c r="D37" s="38">
        <f>C37*Datos!$B$14-Datos!$B$50-Datos!$B$53+Persan!$B$16</f>
        <v>-337736.67123287666</v>
      </c>
    </row>
    <row r="38">
      <c r="A38" s="9" t="inlineStr">
        <is>
          <t>El contrato fija el precio de venta durante 5 años pero no fija el precio de la madera. Todo el riesgo de inflación lo asume Alcopalet.</t>
        </is>
      </c>
    </row>
    <row r="40">
      <c r="A40" s="3" t="inlineStr">
        <is>
          <t>F. ESCENARIO RENEGOCIADO (hipótesis del analista)</t>
        </is>
      </c>
      <c r="B40" s="4" t="n"/>
      <c r="C40" s="4" t="n"/>
      <c r="D40" s="4" t="n"/>
      <c r="E40" s="4" t="n"/>
      <c r="F40" s="4" t="n"/>
    </row>
    <row r="41">
      <c r="A41" s="12" t="inlineStr">
        <is>
          <t>Precio renegociado (€/ud)</t>
        </is>
      </c>
      <c r="B41" s="56">
        <f>Datos!$B$60</f>
        <v>12.5</v>
      </c>
      <c r="F41" s="9" t="inlineStr">
        <is>
          <t>Editable en la hoja Datos. Comparar siempre con el precio de equilibrio calculado arriba.</t>
        </is>
      </c>
    </row>
    <row r="42">
      <c r="A42" s="12" t="inlineStr">
        <is>
          <t>Plazo de cobro renegociado (días)</t>
        </is>
      </c>
      <c r="B42" s="45">
        <f>Datos!$B$61</f>
        <v>90.0</v>
      </c>
    </row>
    <row r="43">
      <c r="A43" s="12" t="inlineStr">
        <is>
          <t>Margen de contribución unitario (€)</t>
        </is>
      </c>
      <c r="B43" s="53">
        <f>B41-Escandallo!$D$10</f>
        <v>1.9800000000000004</v>
      </c>
    </row>
    <row r="44">
      <c r="A44" s="12" t="inlineStr">
        <is>
          <t>Margen de contribución total (€)</t>
        </is>
      </c>
      <c r="B44" s="18">
        <f>B43*Datos!$B$14</f>
        <v>178200.00000000003</v>
      </c>
    </row>
    <row r="45">
      <c r="A45" s="12" t="inlineStr">
        <is>
          <t>(−) Campa y leasing</t>
        </is>
      </c>
      <c r="B45" s="18">
        <f>-Datos!$B$50-Datos!$B$53</f>
        <v>-108000.0</v>
      </c>
    </row>
    <row r="46">
      <c r="A46" s="12" t="inlineStr">
        <is>
          <t>(−) Coste del circulante</t>
        </is>
      </c>
      <c r="B46" s="18">
        <f>-(B41*Datos!$B$14*B42/365+Datos!$B$18*Escandallo!$D$10)*Datos!$B$11</f>
        <v>-21593.794520547945</v>
      </c>
    </row>
    <row r="47">
      <c r="A47" s="57" t="inlineStr">
        <is>
          <t>RESULTADO ANUAL RENEGOCIADO</t>
        </is>
      </c>
      <c r="B47" s="58">
        <f>B44+B45+B46</f>
        <v>48606.20547945208</v>
      </c>
      <c r="C47" s="59" t="n"/>
      <c r="D47" s="59" t="n"/>
      <c r="E47" s="59" t="n"/>
      <c r="F47" s="60" t="inlineStr">
        <is>
          <t>Comparar con el impacto del contrato tal como está hoy.</t>
        </is>
      </c>
    </row>
    <row r="48">
      <c r="A48" s="12" t="inlineStr">
        <is>
          <t>Mejora frente al contrato actual</t>
        </is>
      </c>
      <c r="B48" s="38">
        <f>B47-Persan!$B$19</f>
        <v>237482.8767123288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6" customWidth="1" min="4" max="4"/>
    <col width="12" customWidth="1" min="5" max="5"/>
    <col width="54" customWidth="1" min="6" max="6"/>
  </cols>
  <sheetData>
    <row r="1">
      <c r="A1" s="1" t="inlineStr">
        <is>
          <t>El robot como decisión independiente del contrato</t>
        </is>
      </c>
    </row>
    <row r="2">
      <c r="A2" s="2" t="inlineStr">
        <is>
          <t>El caso presenta máquina y contrato como una sola decisión. Separarlos es la clave del análisis: la tecnología es buena aunque el contrato no lo sea.</t>
        </is>
      </c>
    </row>
    <row r="4">
      <c r="A4" s="3" t="inlineStr">
        <is>
          <t>A. COMPARATIVA TÉCNICA DE LOS TRES SISTEMAS DE FABRICACIÓN</t>
        </is>
      </c>
      <c r="B4" s="4" t="n"/>
      <c r="C4" s="4" t="n"/>
      <c r="D4" s="4" t="n"/>
      <c r="E4" s="4" t="n"/>
      <c r="F4" s="4" t="n"/>
    </row>
    <row r="5">
      <c r="A5" s="25" t="inlineStr">
        <is>
          <t>Indicador</t>
        </is>
      </c>
      <c r="B5" s="25" t="inlineStr">
        <is>
          <t>Manual</t>
        </is>
      </c>
      <c r="C5" s="25" t="inlineStr">
        <is>
          <t>Línea 2019</t>
        </is>
      </c>
      <c r="D5" s="25" t="inlineStr">
        <is>
          <t>Robot nuevo</t>
        </is>
      </c>
      <c r="E5" s="25" t="inlineStr"/>
      <c r="F5" s="25" t="inlineStr">
        <is>
          <t>Lectura</t>
        </is>
      </c>
    </row>
    <row r="6">
      <c r="A6" s="12" t="inlineStr">
        <is>
          <t>Producción efectiva (palets/día)</t>
        </is>
      </c>
      <c r="B6" s="14">
        <f>Datos!$B$32</f>
        <v>500.0</v>
      </c>
      <c r="C6" s="14">
        <f>Datos!$B$21*Datos!$B$22*Datos!$B$8</f>
        <v>390.0</v>
      </c>
      <c r="D6" s="14">
        <f>Datos!$B$43*Datos!$B$44</f>
        <v>360.0</v>
      </c>
    </row>
    <row r="7">
      <c r="A7" s="12" t="inlineStr">
        <is>
          <t>Operarios necesarios</t>
        </is>
      </c>
      <c r="B7" s="14">
        <f>Datos!$B$31</f>
        <v>8.0</v>
      </c>
      <c r="C7" s="14">
        <f>Datos!$B$23</f>
        <v>2.0</v>
      </c>
      <c r="D7" s="14">
        <f>Datos!$B$45</f>
        <v>1.0</v>
      </c>
    </row>
    <row r="8">
      <c r="A8" s="12" t="inlineStr">
        <is>
          <t>Productividad (palets/operario/día)</t>
        </is>
      </c>
      <c r="B8" s="20">
        <f>B6/B7</f>
        <v>62.5</v>
      </c>
      <c r="C8" s="20">
        <f>C6/C7</f>
        <v>195.0</v>
      </c>
      <c r="D8" s="20">
        <f>D6/D7</f>
        <v>360.0</v>
      </c>
      <c r="F8" s="9" t="inlineStr">
        <is>
          <t>El robot multiplica por 5,8 la productividad de la fabricación manual.</t>
        </is>
      </c>
    </row>
    <row r="9">
      <c r="A9" s="12" t="inlineStr">
        <is>
          <t>Cambio de formato (horas)</t>
        </is>
      </c>
      <c r="C9" s="20">
        <f>Datos!$B$28</f>
        <v>6.0</v>
      </c>
      <c r="D9" s="20">
        <f>Datos!$B$46/60</f>
        <v>0.4166666666666667</v>
      </c>
      <c r="F9" s="9" t="inlineStr">
        <is>
          <t>6 horas de parada frente a menos de media hora: el robot permite series cortas y atender pedidos a medida, que es donde Alcopalet gana margen.</t>
        </is>
      </c>
    </row>
    <row r="10">
      <c r="A10" s="12" t="inlineStr">
        <is>
          <t>Coste de mano de obra por palet (€)</t>
        </is>
      </c>
      <c r="B10" s="40">
        <f>Datos!$B$9*B7/(B6*Datos!$B$7)</f>
        <v>2.512396694214876</v>
      </c>
      <c r="C10" s="40">
        <f>Datos!$B$9*C7/(C6*Datos!$B$7)</f>
        <v>0.8052553507098962</v>
      </c>
      <c r="D10" s="40">
        <f>Datos!$B$9*D7/(D6*Datos!$B$7)</f>
        <v>0.4361799816345271</v>
      </c>
      <c r="F10" s="9" t="inlineStr">
        <is>
          <t>Coste a plena capacidad de cada sistema. No coincide con el Anexo 3 (2,18 € y 0,42 €) porque el anexo promedia manual y línea automática, y porque atribuye al robot 90.000 unidades cuando su capacidad real es de 87.120.</t>
        </is>
      </c>
    </row>
    <row r="12">
      <c r="A12" s="3" t="inlineStr">
        <is>
          <t>B. AHORRO TEÓRICO DE MANO DE OBRA</t>
        </is>
      </c>
      <c r="B12" s="4" t="n"/>
      <c r="C12" s="4" t="n"/>
      <c r="D12" s="4" t="n"/>
      <c r="E12" s="4" t="n"/>
      <c r="F12" s="4" t="n"/>
    </row>
    <row r="13">
      <c r="A13" s="12" t="inlineStr">
        <is>
          <t>Capacidad anual del robot (palets)</t>
        </is>
      </c>
      <c r="B13" s="45">
        <f>Capacidad!$B$18</f>
        <v>87120.0</v>
      </c>
    </row>
    <row r="14">
      <c r="A14" s="12" t="inlineStr">
        <is>
          <t>Operarios manuales equivalentes</t>
        </is>
      </c>
      <c r="B14" s="20">
        <f>B13/(Datos!$B$33*Datos!$B$7)</f>
        <v>5.76</v>
      </c>
      <c r="F14" s="9" t="inlineStr">
        <is>
          <t>Los que harían falta para fabricar lo mismo a mano, a 62,5 palets/operario/día.</t>
        </is>
      </c>
    </row>
    <row r="15">
      <c r="A15" s="12" t="inlineStr">
        <is>
          <t>Operarios que exige el robot</t>
        </is>
      </c>
      <c r="B15" s="45">
        <f>Datos!$B$45</f>
        <v>1.0</v>
      </c>
    </row>
    <row r="16">
      <c r="A16" s="12" t="inlineStr">
        <is>
          <t>Operarios liberados</t>
        </is>
      </c>
      <c r="B16" s="50">
        <f>B14-B15</f>
        <v>4.76</v>
      </c>
    </row>
    <row r="17">
      <c r="A17" s="12" t="inlineStr">
        <is>
          <t>AHORRO TEÓRICO BRUTO (€/año)</t>
        </is>
      </c>
      <c r="B17" s="38">
        <f>B16*Datos!$B$9</f>
        <v>180880.0</v>
      </c>
      <c r="F17" s="9" t="inlineStr">
        <is>
          <t>Solo se materializa si esas personas pasan a producir algo vendible.</t>
        </is>
      </c>
    </row>
    <row r="18">
      <c r="A18" s="12" t="inlineStr">
        <is>
          <t>Cuota anual del leasing, solo la máquina (€)</t>
        </is>
      </c>
      <c r="B18" s="18">
        <f>-Datos!$B$42*(Datos!$B$11/12)/(1-(1+Datos!$B$11/12)^(-Datos!$B$54*12))*12</f>
        <v>-9618.215325899295</v>
      </c>
      <c r="F18" s="9" t="inlineStr">
        <is>
          <t>40.000 € al 7,5% a 5 años. Anualidad calculada, no estimada.</t>
        </is>
      </c>
    </row>
    <row r="19">
      <c r="A19" s="12" t="inlineStr">
        <is>
          <t>AHORRO TEÓRICO NETO (€/año)</t>
        </is>
      </c>
      <c r="B19" s="38">
        <f>B17+B18</f>
        <v>171261.7846741007</v>
      </c>
    </row>
    <row r="20">
      <c r="A20" s="12" t="inlineStr">
        <is>
          <t>Plazo de recuperación de la inversión (meses)</t>
        </is>
      </c>
      <c r="B20" s="50">
        <f>Datos!$B$42/B17*12</f>
        <v>2.6536930561698364</v>
      </c>
      <c r="F20" s="9" t="inlineStr">
        <is>
          <t>Menos de tres meses. Como inversión aislada es excelente.</t>
        </is>
      </c>
    </row>
    <row r="22">
      <c r="A22" s="3" t="inlineStr">
        <is>
          <t>C. LA RESTRICCIÓN QUE LO CAMBIA TODO: «NO QUIERO DESPIDOS»</t>
        </is>
      </c>
      <c r="B22" s="4" t="n"/>
      <c r="C22" s="4" t="n"/>
      <c r="D22" s="4" t="n"/>
      <c r="E22" s="4" t="n"/>
      <c r="F22" s="4" t="n"/>
    </row>
    <row r="23">
      <c r="A23" s="9" t="inlineStr">
        <is>
          <t>Esteban afirma expresamente que no quiere despidos y que el turno único es un valor diferencial para retener a la plantilla. Un ahorro de mano de obra que no se traduce en menos nóminas ni en más producción vendida NO es un ahorro real.</t>
        </is>
      </c>
    </row>
    <row r="25">
      <c r="A25" s="12" t="inlineStr">
        <is>
          <t>% de mano de obra liberada que se monetiza</t>
        </is>
      </c>
      <c r="B25" s="61">
        <f>Datos!$B$59</f>
        <v>0.0</v>
      </c>
      <c r="F25" s="9" t="inlineStr">
        <is>
          <t>HIPÓTESIS CLAVE, editable en la hoja Datos. 0% = nadie se reasigna ni causa baja.</t>
        </is>
      </c>
    </row>
    <row r="26">
      <c r="A26" s="12" t="inlineStr">
        <is>
          <t>Ahorro REAL de mano de obra (€/año)</t>
        </is>
      </c>
      <c r="B26" s="38">
        <f>Robot!$B$17*Datos!$B$59</f>
        <v>0.0</v>
      </c>
    </row>
    <row r="27">
      <c r="A27" s="12" t="inlineStr">
        <is>
          <t>Coste del leasing de la máquina (€/año)</t>
        </is>
      </c>
      <c r="B27" s="33">
        <f>B18</f>
        <v>-9618.215325899295</v>
      </c>
    </row>
    <row r="28">
      <c r="A28" s="12" t="inlineStr">
        <is>
          <t>RESULTADO REAL DEL ROBOT AISLADO (€/año)</t>
        </is>
      </c>
      <c r="B28" s="38">
        <f>B26+B27</f>
        <v>-9618.215325899295</v>
      </c>
      <c r="F28" s="9" t="inlineStr">
        <is>
          <t>Con 0% de monetización el robot solo aporta coste. Su valor depende por completo de tener dónde colocar a las personas o el producto.</t>
        </is>
      </c>
    </row>
    <row r="29">
      <c r="A29" s="12" t="inlineStr">
        <is>
          <t>Vías para monetizar la mano de obra liberada</t>
        </is>
      </c>
      <c r="F29" s="9" t="inlineStr">
        <is>
          <t>1) Reasignar a la línea de palet usado, que necesita +2,6 operarios y solo le falta espacio.  2) Crecer en palet nuevo a precio de mercado.  3) No reponer bajas naturales.</t>
        </is>
      </c>
    </row>
    <row r="31">
      <c r="A31" s="3" t="inlineStr">
        <is>
          <t>D. COSTE DE OPORTUNIDAD: ¿A QUÉ DEDICAR LA CAPACIDAD DEL ROBOT?</t>
        </is>
      </c>
      <c r="B31" s="4" t="n"/>
      <c r="C31" s="4" t="n"/>
      <c r="D31" s="4" t="n"/>
      <c r="E31" s="4" t="n"/>
      <c r="F31" s="4" t="n"/>
    </row>
    <row r="32">
      <c r="A32" s="25" t="inlineStr">
        <is>
          <t>Destino de la producción del robot</t>
        </is>
      </c>
      <c r="B32" s="25" t="inlineStr">
        <is>
          <t>Precio (€/ud)</t>
        </is>
      </c>
      <c r="C32" s="25" t="inlineStr">
        <is>
          <t>Coste (€/ud)</t>
        </is>
      </c>
      <c r="D32" s="25" t="inlineStr">
        <is>
          <t>Margen (€/ud)</t>
        </is>
      </c>
      <c r="E32" s="25" t="inlineStr">
        <is>
          <t>Margen anual (€)</t>
        </is>
      </c>
      <c r="F32" s="25" t="inlineStr">
        <is>
          <t>Comentario</t>
        </is>
      </c>
    </row>
    <row r="33">
      <c r="A33" s="12" t="inlineStr">
        <is>
          <t>Fabricar para Persán a 10 €</t>
        </is>
      </c>
      <c r="B33" s="56">
        <f>Datos!$B$15</f>
        <v>10.0</v>
      </c>
      <c r="C33" s="40">
        <f>Escandallo!$D$6+Escandallo!$D$7+Escandallo!$D$8+Escandallo!$D$9</f>
        <v>10.52</v>
      </c>
      <c r="D33" s="53">
        <f>B33-C33</f>
        <v>-0.5199999999999996</v>
      </c>
      <c r="E33" s="38">
        <f>D33*Capacidad!$B$18</f>
        <v>-45302.399999999965</v>
      </c>
      <c r="F33" s="9" t="inlineStr">
        <is>
          <t>Precio del contrato tal como está negociado.</t>
        </is>
      </c>
    </row>
    <row r="34">
      <c r="A34" s="12" t="inlineStr">
        <is>
          <t>Fabricar para el mercado actual a 15,16 €</t>
        </is>
      </c>
      <c r="B34" s="56">
        <f>Escandallo!$B$5</f>
        <v>15.16</v>
      </c>
      <c r="C34" s="40">
        <f>Escandallo!$D$6+Escandallo!$D$7+Escandallo!$D$8+Escandallo!$D$9</f>
        <v>10.52</v>
      </c>
      <c r="D34" s="53">
        <f>B34-C34</f>
        <v>4.640000000000001</v>
      </c>
      <c r="E34" s="38">
        <f>D34*Capacidad!$B$18</f>
        <v>404236.80000000005</v>
      </c>
      <c r="F34" s="9" t="inlineStr">
        <is>
          <t>Precio medio real del palet nuevo en 2025 (Tetra Pak, Don Simón, Green Box).</t>
        </is>
      </c>
    </row>
    <row r="35">
      <c r="A35" s="12" t="inlineStr">
        <is>
          <t>Fabricar para Persán renegociado</t>
        </is>
      </c>
      <c r="B35" s="56">
        <f>Datos!$B$60</f>
        <v>12.5</v>
      </c>
      <c r="C35" s="40">
        <f>Escandallo!$D$6+Escandallo!$D$7+Escandallo!$D$8+Escandallo!$D$9</f>
        <v>10.52</v>
      </c>
      <c r="D35" s="53">
        <f>B35-C35</f>
        <v>1.9800000000000004</v>
      </c>
      <c r="E35" s="38">
        <f>D35*Capacidad!$B$18</f>
        <v>172497.60000000003</v>
      </c>
      <c r="F35" s="9" t="inlineStr">
        <is>
          <t>Hipótesis de negociación editable en la hoja Datos.</t>
        </is>
      </c>
    </row>
    <row r="36">
      <c r="A36" s="51" t="inlineStr">
        <is>
          <t>COSTE DE OPORTUNIDAD (mercado vs Persán)</t>
        </is>
      </c>
      <c r="B36" s="52">
        <f>E34-E33</f>
        <v>449539.2</v>
      </c>
      <c r="C36" s="36" t="n"/>
      <c r="D36" s="36" t="n"/>
      <c r="E36" s="36" t="n"/>
      <c r="F36" s="37" t="inlineStr">
        <is>
          <t>Dedicar el robot a Persán en vez de al mercado ordinario cuesta más de 440.000 €/año de margen. La pregunta correcta no es si comprar la máquina, sino a qué dedicarla. Requiere demanda: hoy la fábrica está al 81%.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4" customWidth="1" min="7" max="7"/>
  </cols>
  <sheetData>
    <row r="1">
      <c r="A1" s="1" t="inlineStr">
        <is>
          <t>Comparación de opciones y proyección del resultado</t>
        </is>
      </c>
    </row>
    <row r="2">
      <c r="A2" s="2" t="inlineStr">
        <is>
          <t>Cada columna es una de las opciones que el caso pone sobre la mesa. Todos los importes se recalculan desde las hojas anteriores.</t>
        </is>
      </c>
    </row>
    <row r="4">
      <c r="A4" s="25" t="inlineStr">
        <is>
          <t>Concepto</t>
        </is>
      </c>
      <c r="B4" s="25" t="inlineStr">
        <is>
          <t>E0 Statu quo</t>
        </is>
      </c>
      <c r="C4" s="25" t="inlineStr">
        <is>
          <t>E1 Persán + robot</t>
        </is>
      </c>
      <c r="D4" s="25" t="inlineStr">
        <is>
          <t>E2 Dividendo sin invertir</t>
        </is>
      </c>
      <c r="E4" s="25" t="inlineStr">
        <is>
          <t>E3 Robot sin Persán</t>
        </is>
      </c>
      <c r="F4" s="25" t="inlineStr">
        <is>
          <t>E4 Robot + Persán renegociado</t>
        </is>
      </c>
      <c r="G4" s="25" t="inlineStr">
        <is>
          <t>Comentario</t>
        </is>
      </c>
    </row>
    <row r="5">
      <c r="A5" s="12" t="inlineStr">
        <is>
          <t>Inversión comprometida (€)</t>
        </is>
      </c>
      <c r="B5" s="18" t="inlineStr">
        <is>
          <t>0</t>
        </is>
      </c>
      <c r="C5" s="18">
        <f>Datos!$B$55</f>
        <v>190000.0</v>
      </c>
      <c r="D5" s="18" t="inlineStr">
        <is>
          <t>0</t>
        </is>
      </c>
      <c r="E5" s="18">
        <f>Datos!$B$42</f>
        <v>40000.0</v>
      </c>
      <c r="F5" s="18">
        <f>Datos!$B$55</f>
        <v>190000.0</v>
      </c>
      <c r="G5" s="9" t="inlineStr">
        <is>
          <t>E1 y E4 incluyen el tráiler de 150.000 €.</t>
        </is>
      </c>
    </row>
    <row r="6">
      <c r="A6" s="12" t="inlineStr">
        <is>
          <t>Volumen adicional de palet nuevo (ud)</t>
        </is>
      </c>
      <c r="B6" s="14" t="inlineStr">
        <is>
          <t>0</t>
        </is>
      </c>
      <c r="C6" s="14">
        <f>Datos!$B$14</f>
        <v>90000.0</v>
      </c>
      <c r="D6" s="14" t="inlineStr">
        <is>
          <t>0</t>
        </is>
      </c>
      <c r="E6" s="14" t="inlineStr">
        <is>
          <t>0</t>
        </is>
      </c>
      <c r="F6" s="14">
        <f>Datos!$B$14</f>
        <v>90000.0</v>
      </c>
      <c r="G6" s="9" t="inlineStr">
        <is>
          <t>E3 no añade volumen: sustituye fabricación manual por robot.</t>
        </is>
      </c>
    </row>
    <row r="7">
      <c r="A7" s="12" t="inlineStr">
        <is>
          <t>Margen de contribución adicional (€)</t>
        </is>
      </c>
      <c r="B7" s="18" t="inlineStr">
        <is>
          <t>0</t>
        </is>
      </c>
      <c r="C7" s="18">
        <f>Persan!$B$7</f>
        <v>-46800.0</v>
      </c>
      <c r="D7" s="18" t="inlineStr">
        <is>
          <t>0</t>
        </is>
      </c>
      <c r="E7" s="18" t="inlineStr">
        <is>
          <t>0</t>
        </is>
      </c>
      <c r="F7" s="18">
        <f>(Datos!$B$60-Escandallo!$D$10)*Datos!$B$14</f>
        <v>178200.00000000003</v>
      </c>
    </row>
    <row r="8">
      <c r="A8" s="12" t="inlineStr">
        <is>
          <t>Ahorro real de mano de obra (€)</t>
        </is>
      </c>
      <c r="B8" s="18" t="inlineStr">
        <is>
          <t>0</t>
        </is>
      </c>
      <c r="C8" s="18" t="inlineStr">
        <is>
          <t>0</t>
        </is>
      </c>
      <c r="D8" s="18" t="inlineStr">
        <is>
          <t>0</t>
        </is>
      </c>
      <c r="E8" s="18">
        <f>Robot!$B$17*Datos!$B$59</f>
        <v>0.0</v>
      </c>
      <c r="F8" s="18" t="inlineStr">
        <is>
          <t>0</t>
        </is>
      </c>
      <c r="G8" s="9" t="inlineStr">
        <is>
          <t>En E1 y E4 el volumen es nuevo: no libera a nadie, exige contratar 1 operario.</t>
        </is>
      </c>
    </row>
    <row r="9">
      <c r="A9" s="12" t="inlineStr">
        <is>
          <t>Alquiler de la campa (€)</t>
        </is>
      </c>
      <c r="B9" s="18" t="inlineStr">
        <is>
          <t>0</t>
        </is>
      </c>
      <c r="C9" s="18">
        <f>-Datos!$B$50</f>
        <v>-60000.0</v>
      </c>
      <c r="D9" s="18" t="inlineStr">
        <is>
          <t>0</t>
        </is>
      </c>
      <c r="E9" s="18" t="inlineStr">
        <is>
          <t>0</t>
        </is>
      </c>
      <c r="F9" s="18">
        <f>-Datos!$B$50</f>
        <v>-60000.0</v>
      </c>
    </row>
    <row r="10">
      <c r="A10" s="12" t="inlineStr">
        <is>
          <t>Leasing (€)</t>
        </is>
      </c>
      <c r="B10" s="18" t="inlineStr">
        <is>
          <t>0</t>
        </is>
      </c>
      <c r="C10" s="18">
        <f>-Datos!$B$53</f>
        <v>-48000.0</v>
      </c>
      <c r="D10" s="18" t="inlineStr">
        <is>
          <t>0</t>
        </is>
      </c>
      <c r="E10" s="18">
        <f>-Datos!$B$42*(Datos!$B$11/12)/(1-(1+Datos!$B$11/12)^(-Datos!$B$54*12))*12</f>
        <v>-9618.215325899295</v>
      </c>
      <c r="F10" s="18">
        <f>-Datos!$B$53</f>
        <v>-48000.0</v>
      </c>
      <c r="G10" s="9" t="inlineStr">
        <is>
          <t>En E3 solo se financia la máquina: no hace falta tráiler.</t>
        </is>
      </c>
    </row>
    <row r="11">
      <c r="A11" s="12" t="inlineStr">
        <is>
          <t>Coste financiero del circulante (€)</t>
        </is>
      </c>
      <c r="B11" s="18" t="inlineStr">
        <is>
          <t>0</t>
        </is>
      </c>
      <c r="C11" s="18">
        <f>Persan!$B$16</f>
        <v>-34076.67123287671</v>
      </c>
      <c r="D11" s="18" t="inlineStr">
        <is>
          <t>0</t>
        </is>
      </c>
      <c r="E11" s="18" t="inlineStr">
        <is>
          <t>0</t>
        </is>
      </c>
      <c r="F11" s="18">
        <f>-(Datos!$B$60*Datos!$B$14*Datos!$B$61/365+Datos!$B$18*Escandallo!$D$10)*Datos!$B$11</f>
        <v>-21593.794520547945</v>
      </c>
      <c r="G11" s="9" t="inlineStr">
        <is>
          <t>E4 supone además reducir el cobro de 180 a 90 días.</t>
        </is>
      </c>
    </row>
    <row r="12">
      <c r="A12" s="26" t="inlineStr">
        <is>
          <t>IMPACTO ANUAL SOBRE EL RESULTADO (€)</t>
        </is>
      </c>
      <c r="B12" s="27">
        <f>SUM(B7:B11)</f>
        <v>0.0</v>
      </c>
      <c r="C12" s="27">
        <f>SUM(C7:C11)</f>
        <v>-188876.67123287672</v>
      </c>
      <c r="D12" s="27">
        <f>SUM(D7:D11)</f>
        <v>0.0</v>
      </c>
      <c r="E12" s="27">
        <f>SUM(E7:E11)</f>
        <v>-9618.215325899295</v>
      </c>
      <c r="F12" s="27">
        <f>SUM(F7:F11)</f>
        <v>48606.20547945208</v>
      </c>
      <c r="G12" s="29" t="n"/>
    </row>
    <row r="13">
      <c r="A13" s="26" t="inlineStr">
        <is>
          <t>RESULTADO NETO PROYECTADO (€)</t>
        </is>
      </c>
      <c r="B13" s="27">
        <f>PyG2025!$B$19+B12</f>
        <v>279364.0</v>
      </c>
      <c r="C13" s="27">
        <f>PyG2025!$B$19+C12</f>
        <v>90487.32876712328</v>
      </c>
      <c r="D13" s="27">
        <f>PyG2025!$B$19+D12</f>
        <v>279364.0</v>
      </c>
      <c r="E13" s="27">
        <f>PyG2025!$B$19+E12</f>
        <v>269745.7846741007</v>
      </c>
      <c r="F13" s="27">
        <f>PyG2025!$B$19+F12</f>
        <v>327970.2054794521</v>
      </c>
      <c r="G13" s="42" t="inlineStr">
        <is>
          <t>Partiendo del resultado neto de 2025 (279.364 €).</t>
        </is>
      </c>
    </row>
    <row r="14">
      <c r="A14" s="12" t="inlineStr">
        <is>
          <t>Variación sobre el resultado actual</t>
        </is>
      </c>
      <c r="B14" s="30">
        <f>B12/PyG2025!$B$19</f>
        <v>0.0</v>
      </c>
      <c r="C14" s="30">
        <f>C12/PyG2025!$B$19</f>
        <v>-0.676095242167483</v>
      </c>
      <c r="D14" s="30">
        <f>D12/PyG2025!$B$19</f>
        <v>0.0</v>
      </c>
      <c r="E14" s="30">
        <f>E12/PyG2025!$B$19</f>
        <v>-0.03442897197169032</v>
      </c>
      <c r="F14" s="30">
        <f>F12/PyG2025!$B$19</f>
        <v>0.17398879411610688</v>
      </c>
    </row>
    <row r="16">
      <c r="A16" s="3" t="inlineStr">
        <is>
          <t>IMPACTO EN CAJA DEL PRIMER AÑO</t>
        </is>
      </c>
      <c r="B16" s="4" t="n"/>
      <c r="C16" s="4" t="n"/>
      <c r="D16" s="4" t="n"/>
      <c r="E16" s="4" t="n"/>
      <c r="F16" s="4" t="n"/>
      <c r="G16" s="4" t="n"/>
    </row>
    <row r="17">
      <c r="A17" s="12" t="inlineStr">
        <is>
          <t>Impacto en resultado (€)</t>
        </is>
      </c>
      <c r="B17" s="18">
        <f>B12</f>
        <v>0.0</v>
      </c>
      <c r="C17" s="18">
        <f>C12</f>
        <v>-188876.67123287672</v>
      </c>
      <c r="D17" s="18">
        <f>D12</f>
        <v>0.0</v>
      </c>
      <c r="E17" s="18">
        <f>E12</f>
        <v>-9618.215325899295</v>
      </c>
      <c r="F17" s="18">
        <f>F12</f>
        <v>48606.20547945208</v>
      </c>
    </row>
    <row r="18">
      <c r="A18" s="12" t="inlineStr">
        <is>
          <t>(−) Circulante inmovilizado por el cobro aplazado (€)</t>
        </is>
      </c>
      <c r="B18" s="18" t="inlineStr">
        <is>
          <t>0</t>
        </is>
      </c>
      <c r="C18" s="18">
        <f>-(Datos!$B$14*Datos!$B$15*Datos!$B$17/365+Datos!$B$18*Escandallo!$D$10)</f>
        <v>-454355.61643835617</v>
      </c>
      <c r="D18" s="18" t="inlineStr">
        <is>
          <t>0</t>
        </is>
      </c>
      <c r="E18" s="18" t="inlineStr">
        <is>
          <t>0</t>
        </is>
      </c>
      <c r="F18" s="18">
        <f>-(Datos!$B$60*Datos!$B$14*Datos!$B$61/365+Datos!$B$18*Escandallo!$D$10)</f>
        <v>-287917.2602739726</v>
      </c>
      <c r="G18" s="9" t="inlineStr">
        <is>
          <t>Solo el primer año: después el circulante se mantiene, no se repite.</t>
        </is>
      </c>
    </row>
    <row r="19">
      <c r="A19" s="12" t="inlineStr">
        <is>
          <t>(−) Dividendo extraordinario (€)</t>
        </is>
      </c>
      <c r="B19" s="18" t="inlineStr">
        <is>
          <t>0</t>
        </is>
      </c>
      <c r="C19" s="18" t="inlineStr">
        <is>
          <t>0</t>
        </is>
      </c>
      <c r="D19" s="18">
        <f>-Datos!$B$63</f>
        <v>-200000.0</v>
      </c>
      <c r="E19" s="18" t="inlineStr">
        <is>
          <t>0</t>
        </is>
      </c>
      <c r="F19" s="18" t="inlineStr">
        <is>
          <t>0</t>
        </is>
      </c>
      <c r="G19" s="9" t="inlineStr">
        <is>
          <t>El caso no cuantifica la casa. Cifra de trabajo editable en la hoja Datos.</t>
        </is>
      </c>
    </row>
    <row r="20">
      <c r="A20" s="34" t="inlineStr">
        <is>
          <t>NECESIDAD DE CAJA DEL PRIMER AÑO (€)</t>
        </is>
      </c>
      <c r="B20" s="35">
        <f>SUM(B17:B19)</f>
        <v>0.0</v>
      </c>
      <c r="C20" s="35">
        <f>SUM(C17:C19)</f>
        <v>-643232.2876712328</v>
      </c>
      <c r="D20" s="35">
        <f>SUM(D17:D19)</f>
        <v>-200000.0</v>
      </c>
      <c r="E20" s="35">
        <f>SUM(E17:E19)</f>
        <v>-9618.215325899295</v>
      </c>
      <c r="F20" s="35">
        <f>SUM(F17:F19)</f>
        <v>-239311.0547945205</v>
      </c>
      <c r="G20" s="37" t="inlineStr">
        <is>
          <t>Contrastar con la caja operativa real de 2025, muy inferior al beneficio contable (ver hoja PyG2025).</t>
        </is>
      </c>
    </row>
    <row r="21">
      <c r="A21" s="12" t="inlineStr">
        <is>
          <t>Caja operativa generada en 2025 (referencia)</t>
        </is>
      </c>
      <c r="B21" s="33">
        <f>PyG2025!$B$31</f>
        <v>-60555.0</v>
      </c>
    </row>
    <row r="23">
      <c r="A23" s="3" t="inlineStr">
        <is>
          <t>VALORACIÓN CUALITATIVA FRENTE A LOS CRITERIOS DE DECISIÓN</t>
        </is>
      </c>
      <c r="B23" s="4" t="n"/>
      <c r="C23" s="4" t="n"/>
      <c r="D23" s="4" t="n"/>
      <c r="E23" s="4" t="n"/>
      <c r="F23" s="4" t="n"/>
      <c r="G23" s="4" t="n"/>
    </row>
    <row r="24">
      <c r="A24" s="25" t="inlineStr">
        <is>
          <t>Criterio</t>
        </is>
      </c>
      <c r="B24" s="25" t="inlineStr">
        <is>
          <t>E0</t>
        </is>
      </c>
      <c r="C24" s="25" t="inlineStr">
        <is>
          <t>E1</t>
        </is>
      </c>
      <c r="D24" s="25" t="inlineStr">
        <is>
          <t>E2</t>
        </is>
      </c>
      <c r="E24" s="25" t="inlineStr">
        <is>
          <t>E3</t>
        </is>
      </c>
      <c r="F24" s="25" t="inlineStr">
        <is>
          <t>E4</t>
        </is>
      </c>
      <c r="G24" s="25" t="inlineStr">
        <is>
          <t>Observación</t>
        </is>
      </c>
    </row>
    <row r="25">
      <c r="A25" s="12" t="inlineStr">
        <is>
          <t>Rentabilidad del contrato</t>
        </is>
      </c>
      <c r="B25" s="62" t="inlineStr">
        <is>
          <t>n/a</t>
        </is>
      </c>
      <c r="C25" s="63" t="inlineStr">
        <is>
          <t>NO</t>
        </is>
      </c>
      <c r="D25" s="62" t="inlineStr">
        <is>
          <t>n/a</t>
        </is>
      </c>
      <c r="E25" s="62" t="inlineStr">
        <is>
          <t>n/a</t>
        </is>
      </c>
      <c r="F25" s="64" t="inlineStr">
        <is>
          <t>SÍ</t>
        </is>
      </c>
      <c r="G25" s="9" t="inlineStr">
        <is>
          <t>Solo E4 supera el precio de equilibrio de 12,17 €/ud.</t>
        </is>
      </c>
    </row>
    <row r="26">
      <c r="A26" s="12" t="inlineStr">
        <is>
          <t>Sostenibilidad de la caja</t>
        </is>
      </c>
      <c r="B26" s="64" t="inlineStr">
        <is>
          <t>SÍ</t>
        </is>
      </c>
      <c r="C26" s="63" t="inlineStr">
        <is>
          <t>NO</t>
        </is>
      </c>
      <c r="D26" s="62" t="inlineStr">
        <is>
          <t>DUDOSA</t>
        </is>
      </c>
      <c r="E26" s="64" t="inlineStr">
        <is>
          <t>SÍ</t>
        </is>
      </c>
      <c r="F26" s="62" t="inlineStr">
        <is>
          <t>AJUSTADA</t>
        </is>
      </c>
      <c r="G26" s="9" t="inlineStr">
        <is>
          <t>E1 exige casi 600.000 € de caja el primer año.</t>
        </is>
      </c>
    </row>
    <row r="27">
      <c r="A27" s="12" t="inlineStr">
        <is>
          <t>Respeta «sin despidos»</t>
        </is>
      </c>
      <c r="B27" s="64" t="inlineStr">
        <is>
          <t>SÍ</t>
        </is>
      </c>
      <c r="C27" s="64" t="inlineStr">
        <is>
          <t>SÍ</t>
        </is>
      </c>
      <c r="D27" s="64" t="inlineStr">
        <is>
          <t>SÍ</t>
        </is>
      </c>
      <c r="E27" s="64" t="inlineStr">
        <is>
          <t>SÍ</t>
        </is>
      </c>
      <c r="F27" s="64" t="inlineStr">
        <is>
          <t>SÍ</t>
        </is>
      </c>
      <c r="G27" s="9" t="inlineStr">
        <is>
          <t>Ninguna opción obliga a despedir: la capacidad extra se necesita igualmente.</t>
        </is>
      </c>
    </row>
    <row r="28">
      <c r="A28" s="12" t="inlineStr">
        <is>
          <t>Respeta el turno único</t>
        </is>
      </c>
      <c r="B28" s="64" t="inlineStr">
        <is>
          <t>SÍ</t>
        </is>
      </c>
      <c r="C28" s="64" t="inlineStr">
        <is>
          <t>SÍ</t>
        </is>
      </c>
      <c r="D28" s="64" t="inlineStr">
        <is>
          <t>SÍ</t>
        </is>
      </c>
      <c r="E28" s="64" t="inlineStr">
        <is>
          <t>SÍ</t>
        </is>
      </c>
      <c r="F28" s="64" t="inlineStr">
        <is>
          <t>SÍ</t>
        </is>
      </c>
    </row>
    <row r="29">
      <c r="A29" s="12" t="inlineStr">
        <is>
          <t>Permite el plan de crecimiento a 2030</t>
        </is>
      </c>
      <c r="B29" s="63" t="inlineStr">
        <is>
          <t>NO</t>
        </is>
      </c>
      <c r="C29" s="64" t="inlineStr">
        <is>
          <t>SÍ</t>
        </is>
      </c>
      <c r="D29" s="63" t="inlineStr">
        <is>
          <t>NO</t>
        </is>
      </c>
      <c r="E29" s="62" t="inlineStr">
        <is>
          <t>PARCIAL</t>
        </is>
      </c>
      <c r="F29" s="64" t="inlineStr">
        <is>
          <t>SÍ</t>
        </is>
      </c>
      <c r="G29" s="9" t="inlineStr">
        <is>
          <t>E0 y E2 congelan la empresa en los 3.000 m² actuales.</t>
        </is>
      </c>
    </row>
    <row r="30">
      <c r="A30" s="12" t="inlineStr">
        <is>
          <t>Da seguridad económica a los fundadores</t>
        </is>
      </c>
      <c r="B30" s="62" t="inlineStr">
        <is>
          <t>PARCIAL</t>
        </is>
      </c>
      <c r="C30" s="63" t="inlineStr">
        <is>
          <t>NO</t>
        </is>
      </c>
      <c r="D30" s="64" t="inlineStr">
        <is>
          <t>SÍ</t>
        </is>
      </c>
      <c r="E30" s="62" t="inlineStr">
        <is>
          <t>PARCIAL</t>
        </is>
      </c>
      <c r="F30" s="62" t="inlineStr">
        <is>
          <t>PARCIAL</t>
        </is>
      </c>
      <c r="G30" s="9" t="inlineStr">
        <is>
          <t>E1 es la que menos margen deja para retribuir a los socios.</t>
        </is>
      </c>
    </row>
    <row r="31">
      <c r="A31" s="12" t="inlineStr">
        <is>
          <t>Reduce la dependencia de mano de obra</t>
        </is>
      </c>
      <c r="B31" s="63" t="inlineStr">
        <is>
          <t>NO</t>
        </is>
      </c>
      <c r="C31" s="64" t="inlineStr">
        <is>
          <t>SÍ</t>
        </is>
      </c>
      <c r="D31" s="63" t="inlineStr">
        <is>
          <t>NO</t>
        </is>
      </c>
      <c r="E31" s="64" t="inlineStr">
        <is>
          <t>SÍ</t>
        </is>
      </c>
      <c r="F31" s="64" t="inlineStr">
        <is>
          <t>SÍ</t>
        </is>
      </c>
      <c r="G31" s="9" t="inlineStr">
        <is>
          <t>Recurso «cada vez más difícil de gestionar y contratar» según el propio caso.</t>
        </is>
      </c>
    </row>
    <row r="32">
      <c r="A32" s="12" t="inlineStr">
        <is>
          <t>Riesgo de concentración de cliente</t>
        </is>
      </c>
      <c r="B32" s="62" t="inlineStr">
        <is>
          <t>BAJO</t>
        </is>
      </c>
      <c r="C32" s="62" t="inlineStr">
        <is>
          <t>ALTO</t>
        </is>
      </c>
      <c r="D32" s="62" t="inlineStr">
        <is>
          <t>BAJO</t>
        </is>
      </c>
      <c r="E32" s="62" t="inlineStr">
        <is>
          <t>BAJO</t>
        </is>
      </c>
      <c r="F32" s="62" t="inlineStr">
        <is>
          <t>MEDIO</t>
        </is>
      </c>
      <c r="G32" s="9" t="inlineStr">
        <is>
          <t>Persán supondría el 20% de la facturación con precio fijo a 5 años.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Análisis de sensibilidad del contrato Persán</t>
        </is>
      </c>
    </row>
    <row r="2">
      <c r="A2" s="2" t="inlineStr">
        <is>
          <t>Impacto anual total (€) según el precio negociado y la evolución del precio de la madera. Incluye campa, leasing y coste del circulante.</t>
        </is>
      </c>
    </row>
    <row r="4">
      <c r="A4" s="65" t="inlineStr">
        <is>
          <t>Precio de venta negociado (€/ud) →</t>
        </is>
      </c>
      <c r="B4" s="66" t="n">
        <v>10</v>
      </c>
      <c r="C4" s="66" t="n">
        <v>10.5</v>
      </c>
      <c r="D4" s="66" t="n">
        <v>11</v>
      </c>
      <c r="E4" s="66" t="n">
        <v>11.5</v>
      </c>
      <c r="F4" s="66" t="n">
        <v>12</v>
      </c>
      <c r="G4" s="66" t="n">
        <v>12.5</v>
      </c>
      <c r="H4" s="66" t="n">
        <v>13</v>
      </c>
      <c r="I4" s="66" t="n">
        <v>13.5</v>
      </c>
    </row>
    <row r="5">
      <c r="A5" s="5" t="inlineStr">
        <is>
          <t>↓ Subida del precio de la madera</t>
        </is>
      </c>
    </row>
    <row r="6">
      <c r="A6" s="67" t="n">
        <v>-0.05</v>
      </c>
      <c r="B6" s="68">
        <f>Datos!$B$14*(B$4-(Escandallo!$D$6*(1+$A6)+Escandallo!$D$7+Escandallo!$D$8+Escandallo!$D$9))-Datos!$B$50-Datos!$B$53-(B$4*Datos!$B$14*Datos!$B$17/365+Datos!$B$18*Escandallo!$D$10)*Datos!$B$11</f>
        <v>-151661.67123287675</v>
      </c>
      <c r="C6" s="68">
        <f>Datos!$B$14*(C$4-(Escandallo!$D$6*(1+$A6)+Escandallo!$D$7+Escandallo!$D$8+Escandallo!$D$9))-Datos!$B$50-Datos!$B$53-(C$4*Datos!$B$14*Datos!$B$17/365+Datos!$B$18*Escandallo!$D$10)*Datos!$B$11</f>
        <v>-108326.05479452059</v>
      </c>
      <c r="D6" s="68">
        <f>Datos!$B$14*(D$4-(Escandallo!$D$6*(1+$A6)+Escandallo!$D$7+Escandallo!$D$8+Escandallo!$D$9))-Datos!$B$50-Datos!$B$53-(D$4*Datos!$B$14*Datos!$B$17/365+Datos!$B$18*Escandallo!$D$10)*Datos!$B$11</f>
        <v>-64990.43835616443</v>
      </c>
      <c r="E6" s="68">
        <f>Datos!$B$14*(E$4-(Escandallo!$D$6*(1+$A6)+Escandallo!$D$7+Escandallo!$D$8+Escandallo!$D$9))-Datos!$B$50-Datos!$B$53-(E$4*Datos!$B$14*Datos!$B$17/365+Datos!$B$18*Escandallo!$D$10)*Datos!$B$11</f>
        <v>-21654.821917808265</v>
      </c>
      <c r="F6" s="68">
        <f>Datos!$B$14*(F$4-(Escandallo!$D$6*(1+$A6)+Escandallo!$D$7+Escandallo!$D$8+Escandallo!$D$9))-Datos!$B$50-Datos!$B$53-(F$4*Datos!$B$14*Datos!$B$17/365+Datos!$B$18*Escandallo!$D$10)*Datos!$B$11</f>
        <v>21680.79452054792</v>
      </c>
      <c r="G6" s="68">
        <f>Datos!$B$14*(G$4-(Escandallo!$D$6*(1+$A6)+Escandallo!$D$7+Escandallo!$D$8+Escandallo!$D$9))-Datos!$B$50-Datos!$B$53-(G$4*Datos!$B$14*Datos!$B$17/365+Datos!$B$18*Escandallo!$D$10)*Datos!$B$11</f>
        <v>65016.41095890408</v>
      </c>
      <c r="H6" s="68">
        <f>Datos!$B$14*(H$4-(Escandallo!$D$6*(1+$A6)+Escandallo!$D$7+Escandallo!$D$8+Escandallo!$D$9))-Datos!$B$50-Datos!$B$53-(H$4*Datos!$B$14*Datos!$B$17/365+Datos!$B$18*Escandallo!$D$10)*Datos!$B$11</f>
        <v>108352.02739726024</v>
      </c>
      <c r="I6" s="68">
        <f>Datos!$B$14*(I$4-(Escandallo!$D$6*(1+$A6)+Escandallo!$D$7+Escandallo!$D$8+Escandallo!$D$9))-Datos!$B$50-Datos!$B$53-(I$4*Datos!$B$14*Datos!$B$17/365+Datos!$B$18*Escandallo!$D$10)*Datos!$B$11</f>
        <v>151687.64383561639</v>
      </c>
    </row>
    <row r="7">
      <c r="A7" s="67" t="n">
        <v>0</v>
      </c>
      <c r="B7" s="68">
        <f>Datos!$B$14*(B$4-(Escandallo!$D$6*(1+$A7)+Escandallo!$D$7+Escandallo!$D$8+Escandallo!$D$9))-Datos!$B$50-Datos!$B$53-(B$4*Datos!$B$14*Datos!$B$17/365+Datos!$B$18*Escandallo!$D$10)*Datos!$B$11</f>
        <v>-188876.6712328767</v>
      </c>
      <c r="C7" s="68">
        <f>Datos!$B$14*(C$4-(Escandallo!$D$6*(1+$A7)+Escandallo!$D$7+Escandallo!$D$8+Escandallo!$D$9))-Datos!$B$50-Datos!$B$53-(C$4*Datos!$B$14*Datos!$B$17/365+Datos!$B$18*Escandallo!$D$10)*Datos!$B$11</f>
        <v>-145541.05479452052</v>
      </c>
      <c r="D7" s="68">
        <f>Datos!$B$14*(D$4-(Escandallo!$D$6*(1+$A7)+Escandallo!$D$7+Escandallo!$D$8+Escandallo!$D$9))-Datos!$B$50-Datos!$B$53-(D$4*Datos!$B$14*Datos!$B$17/365+Datos!$B$18*Escandallo!$D$10)*Datos!$B$11</f>
        <v>-102205.43835616435</v>
      </c>
      <c r="E7" s="68">
        <f>Datos!$B$14*(E$4-(Escandallo!$D$6*(1+$A7)+Escandallo!$D$7+Escandallo!$D$8+Escandallo!$D$9))-Datos!$B$50-Datos!$B$53-(E$4*Datos!$B$14*Datos!$B$17/365+Datos!$B$18*Escandallo!$D$10)*Datos!$B$11</f>
        <v>-58869.82191780818</v>
      </c>
      <c r="F7" s="68">
        <f>Datos!$B$14*(F$4-(Escandallo!$D$6*(1+$A7)+Escandallo!$D$7+Escandallo!$D$8+Escandallo!$D$9))-Datos!$B$50-Datos!$B$53-(F$4*Datos!$B$14*Datos!$B$17/365+Datos!$B$18*Escandallo!$D$10)*Datos!$B$11</f>
        <v>-15534.205479452023</v>
      </c>
      <c r="G7" s="68">
        <f>Datos!$B$14*(G$4-(Escandallo!$D$6*(1+$A7)+Escandallo!$D$7+Escandallo!$D$8+Escandallo!$D$9))-Datos!$B$50-Datos!$B$53-(G$4*Datos!$B$14*Datos!$B$17/365+Datos!$B$18*Escandallo!$D$10)*Datos!$B$11</f>
        <v>27801.41095890414</v>
      </c>
      <c r="H7" s="68">
        <f>Datos!$B$14*(H$4-(Escandallo!$D$6*(1+$A7)+Escandallo!$D$7+Escandallo!$D$8+Escandallo!$D$9))-Datos!$B$50-Datos!$B$53-(H$4*Datos!$B$14*Datos!$B$17/365+Datos!$B$18*Escandallo!$D$10)*Datos!$B$11</f>
        <v>71137.0273972603</v>
      </c>
      <c r="I7" s="68">
        <f>Datos!$B$14*(I$4-(Escandallo!$D$6*(1+$A7)+Escandallo!$D$7+Escandallo!$D$8+Escandallo!$D$9))-Datos!$B$50-Datos!$B$53-(I$4*Datos!$B$14*Datos!$B$17/365+Datos!$B$18*Escandallo!$D$10)*Datos!$B$11</f>
        <v>114472.6438356165</v>
      </c>
    </row>
    <row r="8">
      <c r="A8" s="67" t="n">
        <v>0.05</v>
      </c>
      <c r="B8" s="68">
        <f>Datos!$B$14*(B$4-(Escandallo!$D$6*(1+$A8)+Escandallo!$D$7+Escandallo!$D$8+Escandallo!$D$9))-Datos!$B$50-Datos!$B$53-(B$4*Datos!$B$14*Datos!$B$17/365+Datos!$B$18*Escandallo!$D$10)*Datos!$B$11</f>
        <v>-226091.67123287678</v>
      </c>
      <c r="C8" s="68">
        <f>Datos!$B$14*(C$4-(Escandallo!$D$6*(1+$A8)+Escandallo!$D$7+Escandallo!$D$8+Escandallo!$D$9))-Datos!$B$50-Datos!$B$53-(C$4*Datos!$B$14*Datos!$B$17/365+Datos!$B$18*Escandallo!$D$10)*Datos!$B$11</f>
        <v>-182756.05479452058</v>
      </c>
      <c r="D8" s="68">
        <f>Datos!$B$14*(D$4-(Escandallo!$D$6*(1+$A8)+Escandallo!$D$7+Escandallo!$D$8+Escandallo!$D$9))-Datos!$B$50-Datos!$B$53-(D$4*Datos!$B$14*Datos!$B$17/365+Datos!$B$18*Escandallo!$D$10)*Datos!$B$11</f>
        <v>-139420.43835616444</v>
      </c>
      <c r="E8" s="68">
        <f>Datos!$B$14*(E$4-(Escandallo!$D$6*(1+$A8)+Escandallo!$D$7+Escandallo!$D$8+Escandallo!$D$9))-Datos!$B$50-Datos!$B$53-(E$4*Datos!$B$14*Datos!$B$17/365+Datos!$B$18*Escandallo!$D$10)*Datos!$B$11</f>
        <v>-96084.82191780827</v>
      </c>
      <c r="F8" s="68">
        <f>Datos!$B$14*(F$4-(Escandallo!$D$6*(1+$A8)+Escandallo!$D$7+Escandallo!$D$8+Escandallo!$D$9))-Datos!$B$50-Datos!$B$53-(F$4*Datos!$B$14*Datos!$B$17/365+Datos!$B$18*Escandallo!$D$10)*Datos!$B$11</f>
        <v>-52749.205479452095</v>
      </c>
      <c r="G8" s="68">
        <f>Datos!$B$14*(G$4-(Escandallo!$D$6*(1+$A8)+Escandallo!$D$7+Escandallo!$D$8+Escandallo!$D$9))-Datos!$B$50-Datos!$B$53-(G$4*Datos!$B$14*Datos!$B$17/365+Datos!$B$18*Escandallo!$D$10)*Datos!$B$11</f>
        <v>-9413.589041095918</v>
      </c>
      <c r="H8" s="68">
        <f>Datos!$B$14*(H$4-(Escandallo!$D$6*(1+$A8)+Escandallo!$D$7+Escandallo!$D$8+Escandallo!$D$9))-Datos!$B$50-Datos!$B$53-(H$4*Datos!$B$14*Datos!$B$17/365+Datos!$B$18*Escandallo!$D$10)*Datos!$B$11</f>
        <v>33922.02739726025</v>
      </c>
      <c r="I8" s="68">
        <f>Datos!$B$14*(I$4-(Escandallo!$D$6*(1+$A8)+Escandallo!$D$7+Escandallo!$D$8+Escandallo!$D$9))-Datos!$B$50-Datos!$B$53-(I$4*Datos!$B$14*Datos!$B$17/365+Datos!$B$18*Escandallo!$D$10)*Datos!$B$11</f>
        <v>77257.64383561641</v>
      </c>
    </row>
    <row r="9">
      <c r="A9" s="67" t="n">
        <v>0.1</v>
      </c>
      <c r="B9" s="68">
        <f>Datos!$B$14*(B$4-(Escandallo!$D$6*(1+$A9)+Escandallo!$D$7+Escandallo!$D$8+Escandallo!$D$9))-Datos!$B$50-Datos!$B$53-(B$4*Datos!$B$14*Datos!$B$17/365+Datos!$B$18*Escandallo!$D$10)*Datos!$B$11</f>
        <v>-263306.67123287666</v>
      </c>
      <c r="C9" s="68">
        <f>Datos!$B$14*(C$4-(Escandallo!$D$6*(1+$A9)+Escandallo!$D$7+Escandallo!$D$8+Escandallo!$D$9))-Datos!$B$50-Datos!$B$53-(C$4*Datos!$B$14*Datos!$B$17/365+Datos!$B$18*Escandallo!$D$10)*Datos!$B$11</f>
        <v>-219971.0547945205</v>
      </c>
      <c r="D9" s="68">
        <f>Datos!$B$14*(D$4-(Escandallo!$D$6*(1+$A9)+Escandallo!$D$7+Escandallo!$D$8+Escandallo!$D$9))-Datos!$B$50-Datos!$B$53-(D$4*Datos!$B$14*Datos!$B$17/365+Datos!$B$18*Escandallo!$D$10)*Datos!$B$11</f>
        <v>-176635.43835616432</v>
      </c>
      <c r="E9" s="68">
        <f>Datos!$B$14*(E$4-(Escandallo!$D$6*(1+$A9)+Escandallo!$D$7+Escandallo!$D$8+Escandallo!$D$9))-Datos!$B$50-Datos!$B$53-(E$4*Datos!$B$14*Datos!$B$17/365+Datos!$B$18*Escandallo!$D$10)*Datos!$B$11</f>
        <v>-133299.82191780818</v>
      </c>
      <c r="F9" s="68">
        <f>Datos!$B$14*(F$4-(Escandallo!$D$6*(1+$A9)+Escandallo!$D$7+Escandallo!$D$8+Escandallo!$D$9))-Datos!$B$50-Datos!$B$53-(F$4*Datos!$B$14*Datos!$B$17/365+Datos!$B$18*Escandallo!$D$10)*Datos!$B$11</f>
        <v>-89964.20547945201</v>
      </c>
      <c r="G9" s="68">
        <f>Datos!$B$14*(G$4-(Escandallo!$D$6*(1+$A9)+Escandallo!$D$7+Escandallo!$D$8+Escandallo!$D$9))-Datos!$B$50-Datos!$B$53-(G$4*Datos!$B$14*Datos!$B$17/365+Datos!$B$18*Escandallo!$D$10)*Datos!$B$11</f>
        <v>-46628.589041095845</v>
      </c>
      <c r="H9" s="68">
        <f>Datos!$B$14*(H$4-(Escandallo!$D$6*(1+$A9)+Escandallo!$D$7+Escandallo!$D$8+Escandallo!$D$9))-Datos!$B$50-Datos!$B$53-(H$4*Datos!$B$14*Datos!$B$17/365+Datos!$B$18*Escandallo!$D$10)*Datos!$B$11</f>
        <v>-3292.97260273969</v>
      </c>
      <c r="I9" s="68">
        <f>Datos!$B$14*(I$4-(Escandallo!$D$6*(1+$A9)+Escandallo!$D$7+Escandallo!$D$8+Escandallo!$D$9))-Datos!$B$50-Datos!$B$53-(I$4*Datos!$B$14*Datos!$B$17/365+Datos!$B$18*Escandallo!$D$10)*Datos!$B$11</f>
        <v>40042.64383561647</v>
      </c>
    </row>
    <row r="10">
      <c r="A10" s="67" t="n">
        <v>0.15</v>
      </c>
      <c r="B10" s="68">
        <f>Datos!$B$14*(B$4-(Escandallo!$D$6*(1+$A10)+Escandallo!$D$7+Escandallo!$D$8+Escandallo!$D$9))-Datos!$B$50-Datos!$B$53-(B$4*Datos!$B$14*Datos!$B$17/365+Datos!$B$18*Escandallo!$D$10)*Datos!$B$11</f>
        <v>-300521.6712328766</v>
      </c>
      <c r="C10" s="68">
        <f>Datos!$B$14*(C$4-(Escandallo!$D$6*(1+$A10)+Escandallo!$D$7+Escandallo!$D$8+Escandallo!$D$9))-Datos!$B$50-Datos!$B$53-(C$4*Datos!$B$14*Datos!$B$17/365+Datos!$B$18*Escandallo!$D$10)*Datos!$B$11</f>
        <v>-257186.05479452043</v>
      </c>
      <c r="D10" s="68">
        <f>Datos!$B$14*(D$4-(Escandallo!$D$6*(1+$A10)+Escandallo!$D$7+Escandallo!$D$8+Escandallo!$D$9))-Datos!$B$50-Datos!$B$53-(D$4*Datos!$B$14*Datos!$B$17/365+Datos!$B$18*Escandallo!$D$10)*Datos!$B$11</f>
        <v>-213850.43835616426</v>
      </c>
      <c r="E10" s="68">
        <f>Datos!$B$14*(E$4-(Escandallo!$D$6*(1+$A10)+Escandallo!$D$7+Escandallo!$D$8+Escandallo!$D$9))-Datos!$B$50-Datos!$B$53-(E$4*Datos!$B$14*Datos!$B$17/365+Datos!$B$18*Escandallo!$D$10)*Datos!$B$11</f>
        <v>-170514.8219178081</v>
      </c>
      <c r="F10" s="68">
        <f>Datos!$B$14*(F$4-(Escandallo!$D$6*(1+$A10)+Escandallo!$D$7+Escandallo!$D$8+Escandallo!$D$9))-Datos!$B$50-Datos!$B$53-(F$4*Datos!$B$14*Datos!$B$17/365+Datos!$B$18*Escandallo!$D$10)*Datos!$B$11</f>
        <v>-127179.20547945194</v>
      </c>
      <c r="G10" s="68">
        <f>Datos!$B$14*(G$4-(Escandallo!$D$6*(1+$A10)+Escandallo!$D$7+Escandallo!$D$8+Escandallo!$D$9))-Datos!$B$50-Datos!$B$53-(G$4*Datos!$B$14*Datos!$B$17/365+Datos!$B$18*Escandallo!$D$10)*Datos!$B$11</f>
        <v>-83843.58904109575</v>
      </c>
      <c r="H10" s="68">
        <f>Datos!$B$14*(H$4-(Escandallo!$D$6*(1+$A10)+Escandallo!$D$7+Escandallo!$D$8+Escandallo!$D$9))-Datos!$B$50-Datos!$B$53-(H$4*Datos!$B$14*Datos!$B$17/365+Datos!$B$18*Escandallo!$D$10)*Datos!$B$11</f>
        <v>-40507.97260273959</v>
      </c>
      <c r="I10" s="68">
        <f>Datos!$B$14*(I$4-(Escandallo!$D$6*(1+$A10)+Escandallo!$D$7+Escandallo!$D$8+Escandallo!$D$9))-Datos!$B$50-Datos!$B$53-(I$4*Datos!$B$14*Datos!$B$17/365+Datos!$B$18*Escandallo!$D$10)*Datos!$B$11</f>
        <v>2827.64383561656</v>
      </c>
    </row>
    <row r="11">
      <c r="A11" s="67" t="n">
        <v>0.2</v>
      </c>
      <c r="B11" s="68">
        <f>Datos!$B$14*(B$4-(Escandallo!$D$6*(1+$A11)+Escandallo!$D$7+Escandallo!$D$8+Escandallo!$D$9))-Datos!$B$50-Datos!$B$53-(B$4*Datos!$B$14*Datos!$B$17/365+Datos!$B$18*Escandallo!$D$10)*Datos!$B$11</f>
        <v>-337736.67123287666</v>
      </c>
      <c r="C11" s="68">
        <f>Datos!$B$14*(C$4-(Escandallo!$D$6*(1+$A11)+Escandallo!$D$7+Escandallo!$D$8+Escandallo!$D$9))-Datos!$B$50-Datos!$B$53-(C$4*Datos!$B$14*Datos!$B$17/365+Datos!$B$18*Escandallo!$D$10)*Datos!$B$11</f>
        <v>-294401.0547945205</v>
      </c>
      <c r="D11" s="68">
        <f>Datos!$B$14*(D$4-(Escandallo!$D$6*(1+$A11)+Escandallo!$D$7+Escandallo!$D$8+Escandallo!$D$9))-Datos!$B$50-Datos!$B$53-(D$4*Datos!$B$14*Datos!$B$17/365+Datos!$B$18*Escandallo!$D$10)*Datos!$B$11</f>
        <v>-251065.43835616432</v>
      </c>
      <c r="E11" s="68">
        <f>Datos!$B$14*(E$4-(Escandallo!$D$6*(1+$A11)+Escandallo!$D$7+Escandallo!$D$8+Escandallo!$D$9))-Datos!$B$50-Datos!$B$53-(E$4*Datos!$B$14*Datos!$B$17/365+Datos!$B$18*Escandallo!$D$10)*Datos!$B$11</f>
        <v>-207729.82191780815</v>
      </c>
      <c r="F11" s="68">
        <f>Datos!$B$14*(F$4-(Escandallo!$D$6*(1+$A11)+Escandallo!$D$7+Escandallo!$D$8+Escandallo!$D$9))-Datos!$B$50-Datos!$B$53-(F$4*Datos!$B$14*Datos!$B$17/365+Datos!$B$18*Escandallo!$D$10)*Datos!$B$11</f>
        <v>-164394.205479452</v>
      </c>
      <c r="G11" s="68">
        <f>Datos!$B$14*(G$4-(Escandallo!$D$6*(1+$A11)+Escandallo!$D$7+Escandallo!$D$8+Escandallo!$D$9))-Datos!$B$50-Datos!$B$53-(G$4*Datos!$B$14*Datos!$B$17/365+Datos!$B$18*Escandallo!$D$10)*Datos!$B$11</f>
        <v>-121058.58904109584</v>
      </c>
      <c r="H11" s="68">
        <f>Datos!$B$14*(H$4-(Escandallo!$D$6*(1+$A11)+Escandallo!$D$7+Escandallo!$D$8+Escandallo!$D$9))-Datos!$B$50-Datos!$B$53-(H$4*Datos!$B$14*Datos!$B$17/365+Datos!$B$18*Escandallo!$D$10)*Datos!$B$11</f>
        <v>-77722.97260273967</v>
      </c>
      <c r="I11" s="68">
        <f>Datos!$B$14*(I$4-(Escandallo!$D$6*(1+$A11)+Escandallo!$D$7+Escandallo!$D$8+Escandallo!$D$9))-Datos!$B$50-Datos!$B$53-(I$4*Datos!$B$14*Datos!$B$17/365+Datos!$B$18*Escandallo!$D$10)*Datos!$B$11</f>
        <v>-34387.35616438351</v>
      </c>
    </row>
    <row r="13">
      <c r="A13" s="9" t="inlineStr">
        <is>
          <t>Lectura: la zona en negativo es la combinación en la que el contrato destruye valor. Con el precio actual de 10 € el contrato pierde dinero incluso si la madera BAJA un 5%.</t>
        </is>
      </c>
    </row>
    <row r="14">
      <c r="A14" s="9" t="inlineStr">
        <is>
          <t>El punto de equilibrio con madera estable está en torno a 12,17 €/ud: por debajo de ese precio, ningún volumen ni ninguna máquina arreglan el contrato.</t>
        </is>
      </c>
    </row>
    <row r="17">
      <c r="A17" s="3" t="inlineStr">
        <is>
          <t>SENSIBILIDAD AL PLAZO DE COBRO (precio fijo de 10 €/ud)</t>
        </is>
      </c>
      <c r="B17" s="4" t="n"/>
      <c r="C17" s="4" t="n"/>
      <c r="D17" s="4" t="n"/>
      <c r="E17" s="4" t="n"/>
      <c r="F17" s="4" t="n"/>
    </row>
    <row r="18">
      <c r="A18" s="25" t="inlineStr">
        <is>
          <t>Plazo de cobro (días)</t>
        </is>
      </c>
      <c r="B18" s="25" t="inlineStr">
        <is>
          <t>Circulante inmovilizado (€)</t>
        </is>
      </c>
      <c r="C18" s="25" t="inlineStr">
        <is>
          <t>Coste financiero anual (€)</t>
        </is>
      </c>
      <c r="D18" s="25" t="inlineStr">
        <is>
          <t>Impacto total (€)</t>
        </is>
      </c>
      <c r="E18" s="25" t="inlineStr"/>
      <c r="F18" s="25" t="inlineStr">
        <is>
          <t>Lectura</t>
        </is>
      </c>
    </row>
    <row r="19">
      <c r="A19" s="69" t="n">
        <v>30</v>
      </c>
      <c r="B19" s="18">
        <f>Datos!$B$14*Datos!$B$15*A19/365+Datos!$B$18*Escandallo!$D$10</f>
        <v>84492.60273972603</v>
      </c>
      <c r="C19" s="18">
        <f>-B19*Datos!$B$11</f>
        <v>-6336.945205479452</v>
      </c>
      <c r="D19" s="38">
        <f>Persan!$B$7-Datos!$B$50-Datos!$B$53+C19</f>
        <v>-161136.94520547945</v>
      </c>
    </row>
    <row r="20">
      <c r="A20" s="69" t="n">
        <v>60</v>
      </c>
      <c r="B20" s="18">
        <f>Datos!$B$14*Datos!$B$15*A20/365+Datos!$B$18*Escandallo!$D$10</f>
        <v>158465.20547945207</v>
      </c>
      <c r="C20" s="18">
        <f>-B20*Datos!$B$11</f>
        <v>-11884.890410958904</v>
      </c>
      <c r="D20" s="38">
        <f>Persan!$B$7-Datos!$B$50-Datos!$B$53+C20</f>
        <v>-166684.8904109589</v>
      </c>
    </row>
    <row r="21">
      <c r="A21" s="69" t="n">
        <v>90</v>
      </c>
      <c r="B21" s="18">
        <f>Datos!$B$14*Datos!$B$15*A21/365+Datos!$B$18*Escandallo!$D$10</f>
        <v>232437.80821917808</v>
      </c>
      <c r="C21" s="18">
        <f>-B21*Datos!$B$11</f>
        <v>-17432.835616438355</v>
      </c>
      <c r="D21" s="38">
        <f>Persan!$B$7-Datos!$B$50-Datos!$B$53+C21</f>
        <v>-172232.83561643836</v>
      </c>
    </row>
    <row r="22">
      <c r="A22" s="69" t="n">
        <v>120</v>
      </c>
      <c r="B22" s="18">
        <f>Datos!$B$14*Datos!$B$15*A22/365+Datos!$B$18*Escandallo!$D$10</f>
        <v>306410.41095890413</v>
      </c>
      <c r="C22" s="18">
        <f>-B22*Datos!$B$11</f>
        <v>-22980.780821917808</v>
      </c>
      <c r="D22" s="38">
        <f>Persan!$B$7-Datos!$B$50-Datos!$B$53+C22</f>
        <v>-177780.7808219178</v>
      </c>
    </row>
    <row r="23">
      <c r="A23" s="69" t="n">
        <v>180</v>
      </c>
      <c r="B23" s="18">
        <f>Datos!$B$14*Datos!$B$15*A23/365+Datos!$B$18*Escandallo!$D$10</f>
        <v>454355.61643835617</v>
      </c>
      <c r="C23" s="18">
        <f>-B23*Datos!$B$11</f>
        <v>-34076.67123287671</v>
      </c>
      <c r="D23" s="38">
        <f>Persan!$B$7-Datos!$B$50-Datos!$B$53+C23</f>
        <v>-188876.67123287672</v>
      </c>
    </row>
    <row r="24">
      <c r="A24" s="9" t="inlineStr">
        <is>
          <t>Negociar el plazo de cobro ayuda, pero no salva el contrato: el problema de fondo es el precio, no el aplazamiento.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2026-08-13T12:16:57Z</dcterms:created>
  <dcterms:modified xsi:type="dcterms:W3CDTF">2026-08-13T12:16:57Z</dcterms:modified>
</cp:coreProperties>
</file>