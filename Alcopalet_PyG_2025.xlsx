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yG 2025" sheetId="1" state="visible" r:id="rId1"/>
  </sheets>
  <definedNames/>
  <calcPr calcId="124519" fullCalcOnLoad="1"/>
</workbook>
</file>

<file path=xl/styles.xml><?xml version="1.0" encoding="utf-8"?>
<styleSheet xmlns="http://schemas.openxmlformats.org/spreadsheetml/2006/main">
  <numFmts count="4">
    <numFmt numFmtId="164" formatCode="#,##0 &quot;€&quot;;(#,##0) &quot;€&quot;;&quot;-&quot;"/>
    <numFmt numFmtId="165" formatCode="0.0%;(0.0%);&quot;-&quot;"/>
    <numFmt numFmtId="166" formatCode="0.00&quot;x&quot;"/>
    <numFmt numFmtId="167" formatCode="#,##0;(#,##0);&quot;-&quot;"/>
  </numFmts>
  <fonts count="11">
    <font>
      <name val="Calibri"/>
      <family val="2"/>
      <color theme="1"/>
      <sz val="11"/>
      <scheme val="minor"/>
    </font>
    <font>
      <name val="Arial"/>
      <b val="1"/>
      <color rgb="001F3864"/>
      <sz val="16"/>
    </font>
    <font>
      <name val="Arial"/>
      <i val="1"/>
      <color rgb="00595959"/>
      <sz val="9"/>
    </font>
    <font>
      <name val="Arial"/>
      <b val="1"/>
      <color rgb="00FFFFFF"/>
      <sz val="11"/>
    </font>
    <font>
      <name val="Arial"/>
      <i val="1"/>
      <color rgb="00404040"/>
      <sz val="9"/>
    </font>
    <font>
      <name val="Arial"/>
      <b val="1"/>
      <color rgb="00FFFFFF"/>
      <sz val="10"/>
    </font>
    <font>
      <name val="Arial"/>
      <b val="1"/>
      <sz val="10"/>
    </font>
    <font>
      <name val="Arial"/>
      <sz val="10"/>
    </font>
    <font>
      <name val="Arial"/>
      <color rgb="000000FF"/>
      <sz val="10"/>
    </font>
    <font>
      <name val="Arial"/>
      <b val="1"/>
      <color rgb="00FFFFFF"/>
      <sz val="9"/>
    </font>
    <font>
      <name val="Arial"/>
      <b val="1"/>
      <color rgb="00C00000"/>
      <sz val="13"/>
    </font>
  </fonts>
  <fills count="9">
    <fill>
      <patternFill/>
    </fill>
    <fill>
      <patternFill patternType="gray125"/>
    </fill>
    <fill>
      <patternFill patternType="solid">
        <fgColor rgb="001F3864"/>
      </patternFill>
    </fill>
    <fill>
      <patternFill patternType="solid">
        <fgColor rgb="00F2F2F2"/>
      </patternFill>
    </fill>
    <fill>
      <patternFill patternType="solid">
        <fgColor rgb="004472C4"/>
      </patternFill>
    </fill>
    <fill>
      <patternFill patternType="solid">
        <fgColor rgb="00D9E2F3"/>
      </patternFill>
    </fill>
    <fill>
      <patternFill patternType="solid">
        <fgColor rgb="00E2EFDA"/>
      </patternFill>
    </fill>
    <fill>
      <patternFill patternType="solid">
        <fgColor rgb="00FCE4E4"/>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5">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0" applyAlignment="1" pivotButton="0" quotePrefix="0" xfId="0">
      <alignment vertical="top" wrapText="1"/>
    </xf>
    <xf numFmtId="0" fontId="0" fillId="3" borderId="0" pivotButton="0" quotePrefix="0" xfId="0"/>
    <xf numFmtId="0" fontId="6" fillId="8" borderId="1" pivotButton="0" quotePrefix="0" xfId="0"/>
    <xf numFmtId="165" fontId="10" fillId="8" borderId="1" pivotButton="0" quotePrefix="0" xfId="0"/>
    <xf numFmtId="0" fontId="0" fillId="8" borderId="1" pivotButton="0" quotePrefix="0" xfId="0"/>
    <xf numFmtId="0" fontId="4" fillId="8" borderId="1" applyAlignment="1" pivotButton="0" quotePrefix="0" xfId="0">
      <alignment vertical="center" wrapText="1"/>
    </xf>
    <xf numFmtId="164" fontId="10" fillId="8" borderId="1" pivotButton="0" quotePrefix="0" xfId="0"/>
    <xf numFmtId="0" fontId="5" fillId="4" borderId="1" applyAlignment="1" pivotButton="0" quotePrefix="0" xfId="0">
      <alignment horizontal="left"/>
    </xf>
    <xf numFmtId="0" fontId="5" fillId="4" borderId="1" applyAlignment="1" pivotButton="0" quotePrefix="0" xfId="0">
      <alignment horizontal="center"/>
    </xf>
    <xf numFmtId="0" fontId="6" fillId="5" borderId="0" pivotButton="0" quotePrefix="0" xfId="0"/>
    <xf numFmtId="164" fontId="6" fillId="5" borderId="0" pivotButton="0" quotePrefix="0" xfId="0"/>
    <xf numFmtId="165" fontId="6" fillId="5" borderId="0" pivotButton="0" quotePrefix="0" xfId="0"/>
    <xf numFmtId="0" fontId="0" fillId="5" borderId="0" pivotButton="0" quotePrefix="0" xfId="0"/>
    <xf numFmtId="0" fontId="7" fillId="0" borderId="0" pivotButton="0" quotePrefix="0" xfId="0"/>
    <xf numFmtId="164" fontId="8" fillId="0" borderId="0" pivotButton="0" quotePrefix="0" xfId="0"/>
    <xf numFmtId="165" fontId="7" fillId="0" borderId="0" pivotButton="0" quotePrefix="0" xfId="0"/>
    <xf numFmtId="0" fontId="4" fillId="0" borderId="0" applyAlignment="1" pivotButton="0" quotePrefix="0" xfId="0">
      <alignment vertical="center" wrapText="1"/>
    </xf>
    <xf numFmtId="0" fontId="9" fillId="2" borderId="0" applyAlignment="1" pivotButton="0" quotePrefix="0" xfId="0">
      <alignment horizontal="right"/>
    </xf>
    <xf numFmtId="164" fontId="7" fillId="0" borderId="0" pivotButton="0" quotePrefix="0" xfId="0"/>
    <xf numFmtId="0" fontId="4" fillId="5" borderId="0" applyAlignment="1" pivotButton="0" quotePrefix="0" xfId="0">
      <alignment vertical="center" wrapText="1"/>
    </xf>
    <xf numFmtId="0" fontId="6" fillId="6" borderId="0" pivotButton="0" quotePrefix="0" xfId="0"/>
    <xf numFmtId="164" fontId="6" fillId="6" borderId="0" pivotButton="0" quotePrefix="0" xfId="0"/>
    <xf numFmtId="165" fontId="6" fillId="6" borderId="0" pivotButton="0" quotePrefix="0" xfId="0"/>
    <xf numFmtId="0" fontId="4" fillId="6" borderId="0" applyAlignment="1" pivotButton="0" quotePrefix="0" xfId="0">
      <alignment vertical="center" wrapText="1"/>
    </xf>
    <xf numFmtId="164" fontId="6" fillId="0" borderId="0" pivotButton="0" quotePrefix="0" xfId="0"/>
    <xf numFmtId="0" fontId="0" fillId="6" borderId="0" pivotButton="0" quotePrefix="0" xfId="0"/>
    <xf numFmtId="0" fontId="6" fillId="7" borderId="0" pivotButton="0" quotePrefix="0" xfId="0"/>
    <xf numFmtId="164" fontId="10" fillId="7" borderId="0" pivotButton="0" quotePrefix="0" xfId="0"/>
    <xf numFmtId="0" fontId="0" fillId="7" borderId="0" pivotButton="0" quotePrefix="0" xfId="0"/>
    <xf numFmtId="0" fontId="4" fillId="7" borderId="0" applyAlignment="1" pivotButton="0" quotePrefix="0" xfId="0">
      <alignment vertical="center" wrapText="1"/>
    </xf>
    <xf numFmtId="164" fontId="6" fillId="7" borderId="0" pivotButton="0" quotePrefix="0" xfId="0"/>
    <xf numFmtId="165" fontId="6" fillId="0" borderId="0" pivotButton="0" quotePrefix="0" xfId="0"/>
    <xf numFmtId="165" fontId="10" fillId="6" borderId="0" pivotButton="0" quotePrefix="0" xfId="0"/>
    <xf numFmtId="166" fontId="6" fillId="0" borderId="0" pivotButton="0" quotePrefix="0" xfId="0"/>
    <xf numFmtId="165" fontId="8" fillId="0" borderId="0" pivotButton="0" quotePrefix="0" xfId="0"/>
    <xf numFmtId="166" fontId="6" fillId="6" borderId="0" pivotButton="0" quotePrefix="0" xfId="0"/>
    <xf numFmtId="166" fontId="7" fillId="0" borderId="0" pivotButton="0" quotePrefix="0" xfId="0"/>
    <xf numFmtId="166" fontId="10" fillId="7" borderId="0" pivotButton="0" quotePrefix="0" xfId="0"/>
    <xf numFmtId="167" fontId="8" fillId="0" borderId="0" pivotButton="0" quotePrefix="0" xfId="0"/>
    <xf numFmtId="0" fontId="7"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95"/>
  <sheetViews>
    <sheetView showGridLines="0" workbookViewId="0">
      <pane ySplit="3" topLeftCell="A4" activePane="bottomLeft" state="frozen"/>
      <selection pane="bottomLeft" activeCell="A1" sqref="A1"/>
    </sheetView>
  </sheetViews>
  <sheetFormatPr baseColWidth="8" defaultRowHeight="15"/>
  <cols>
    <col width="50" customWidth="1" min="1" max="1"/>
    <col width="17" customWidth="1" min="2" max="2"/>
    <col width="12" customWidth="1" min="3" max="3"/>
    <col width="40" customWidth="1" min="4" max="4"/>
  </cols>
  <sheetData>
    <row r="1">
      <c r="A1" s="1" t="inlineStr">
        <is>
          <t>ALCOPALET — Cuenta de resultados 2025</t>
        </is>
      </c>
    </row>
    <row r="2">
      <c r="A2" s="2" t="inlineStr">
        <is>
          <t>Caso DTI-1399 · Lydes 2026 · Se lee de arriba abajo: cada bloque lleva el título, para qué sirve, y después los números.  ·  Azul = dato del Anexo 1 · Negro = fórmula</t>
        </is>
      </c>
    </row>
    <row r="4">
      <c r="A4" s="3" t="inlineStr">
        <is>
          <t>LOS TRES NÚMEROS QUE SALEN DE ESTA CUENTA</t>
        </is>
      </c>
      <c r="B4" s="4" t="n"/>
      <c r="C4" s="4" t="n"/>
      <c r="D4" s="4" t="n"/>
    </row>
    <row r="5" ht="16.5" customHeight="1">
      <c r="A5" s="5" t="inlineStr">
        <is>
          <t>Si solo te llevas tres cifras al informe, son estas. Todo lo demás de la hoja existe para poder defenderlas.</t>
        </is>
      </c>
      <c r="B5" s="6" t="n"/>
      <c r="C5" s="6" t="n"/>
      <c r="D5" s="6" t="n"/>
    </row>
    <row r="6">
      <c r="A6" s="7" t="inlineStr">
        <is>
          <t>Margen de contribución del negocio</t>
        </is>
      </c>
      <c r="B6" s="8">
        <f>B35/B12</f>
        <v>0.2716583352725152</v>
      </c>
      <c r="C6" s="9" t="n"/>
      <c r="D6" s="10" t="inlineStr">
        <is>
          <t>Lo que deja cada euro vendido. El número clave para juzgar Persán.</t>
        </is>
      </c>
    </row>
    <row r="7">
      <c r="A7" s="7" t="inlineStr">
        <is>
          <t>Caja operativa real 2025</t>
        </is>
      </c>
      <c r="B7" s="11">
        <f>B49</f>
        <v>-60555.0</v>
      </c>
      <c r="C7" s="9" t="n"/>
      <c r="D7" s="10" t="inlineStr">
        <is>
          <t>Frente a 279.364 € de beneficio. La respuesta a los padres.</t>
        </is>
      </c>
    </row>
    <row r="8">
      <c r="A8" s="7" t="inlineStr">
        <is>
          <t>Margen de seguridad</t>
        </is>
      </c>
      <c r="B8" s="8">
        <f>B61</f>
        <v>0.2990343811063673</v>
      </c>
      <c r="C8" s="9" t="n"/>
      <c r="D8" s="10" t="inlineStr">
        <is>
          <t>Cuánto puede caer la facturación antes de perder dinero.</t>
        </is>
      </c>
    </row>
    <row r="9">
      <c r="A9" s="3" t="inlineStr">
        <is>
          <t>1. LA CUENTA DE RESULTADOS (Anexo 1)</t>
        </is>
      </c>
      <c r="B9" s="4" t="n"/>
      <c r="C9" s="4" t="n"/>
      <c r="D9" s="4" t="n"/>
    </row>
    <row r="10" ht="29" customHeight="1">
      <c r="A10" s="5" t="inlineStr">
        <is>
          <t>Tal cual la da el caso. Los subtotales están calculados con fórmula, no copiados, para comprobar que cuadran con lo publicado.</t>
        </is>
      </c>
      <c r="B10" s="6" t="n"/>
      <c r="C10" s="6" t="n"/>
      <c r="D10" s="6" t="n"/>
    </row>
    <row r="11">
      <c r="A11" s="12" t="inlineStr">
        <is>
          <t>Concepto</t>
        </is>
      </c>
      <c r="B11" s="13" t="inlineStr">
        <is>
          <t>Importe 2025</t>
        </is>
      </c>
      <c r="C11" s="13" t="inlineStr">
        <is>
          <t>% s/ventas</t>
        </is>
      </c>
      <c r="D11" s="13" t="inlineStr"/>
    </row>
    <row r="12">
      <c r="A12" s="14" t="inlineStr">
        <is>
          <t>VENTAS NETAS</t>
        </is>
      </c>
      <c r="B12" s="15" t="n">
        <v>4585267</v>
      </c>
      <c r="C12" s="16">
        <f>B12/$B$12</f>
        <v>1.0</v>
      </c>
      <c r="D12" s="17" t="n"/>
    </row>
    <row r="13">
      <c r="A13" s="18" t="inlineStr">
        <is>
          <t>Variación de existencias</t>
        </is>
      </c>
      <c r="B13" s="19" t="n">
        <v>376062</v>
      </c>
      <c r="C13" s="20">
        <f>B13/$B$12</f>
        <v>0.08201528940408487</v>
      </c>
      <c r="D13" s="21" t="inlineStr">
        <is>
          <t>Ingreso contable, pero NO es caja</t>
        </is>
      </c>
    </row>
    <row r="14">
      <c r="A14" s="18" t="inlineStr">
        <is>
          <t>Aprovisionamientos</t>
        </is>
      </c>
      <c r="B14" s="19" t="n">
        <v>-3068506</v>
      </c>
      <c r="C14" s="20">
        <f>B14/$B$12</f>
        <v>-0.6692098846152252</v>
      </c>
      <c r="D14" s="21" t="inlineStr">
        <is>
          <t>COMPRAS, no consumo → ver bloque 2</t>
        </is>
      </c>
    </row>
    <row r="15">
      <c r="A15" s="14" t="inlineStr">
        <is>
          <t>MARGEN BRUTO</t>
        </is>
      </c>
      <c r="B15" s="15">
        <f>SUM(B12:B14)</f>
        <v>1892823.0</v>
      </c>
      <c r="C15" s="16">
        <f>B15/$B$12</f>
        <v>0.41280540478885963</v>
      </c>
      <c r="D15" s="17" t="n"/>
    </row>
    <row r="16">
      <c r="A16" s="18" t="inlineStr">
        <is>
          <t>Gastos de personal — Producción</t>
        </is>
      </c>
      <c r="B16" s="19" t="n">
        <v>-481660</v>
      </c>
      <c r="C16" s="20">
        <f>B16/$B$12</f>
        <v>-0.10504513695712812</v>
      </c>
    </row>
    <row r="17">
      <c r="A17" s="18" t="inlineStr">
        <is>
          <t>Gastos de transporte</t>
        </is>
      </c>
      <c r="B17" s="19" t="n">
        <v>-268218</v>
      </c>
      <c r="C17" s="20">
        <f>B17/$B$12</f>
        <v>-0.05849561214210645</v>
      </c>
      <c r="D17" s="21" t="inlineStr">
        <is>
          <t>2 camiones, ya al 100% → ver bloque 7</t>
        </is>
      </c>
    </row>
    <row r="18">
      <c r="A18" s="18" t="inlineStr">
        <is>
          <t>Gastos de personal — Estructura</t>
        </is>
      </c>
      <c r="B18" s="19" t="n">
        <v>-311292</v>
      </c>
      <c r="C18" s="20">
        <f>B18/$B$12</f>
        <v>-0.06788961253510428</v>
      </c>
    </row>
    <row r="19">
      <c r="A19" s="18" t="inlineStr">
        <is>
          <t>Otros costes de explotación</t>
        </is>
      </c>
      <c r="B19" s="19" t="n">
        <v>-378979</v>
      </c>
      <c r="C19" s="20">
        <f>B19/$B$12</f>
        <v>-0.08265145737423797</v>
      </c>
      <c r="D19" s="21" t="inlineStr">
        <is>
          <t>60% es palet nuevo; varían con el volumen</t>
        </is>
      </c>
    </row>
    <row r="20">
      <c r="A20" s="14" t="inlineStr">
        <is>
          <t>EBITDA</t>
        </is>
      </c>
      <c r="B20" s="15">
        <f>B15+SUM(B16:B19)</f>
        <v>452674.0</v>
      </c>
      <c r="C20" s="16">
        <f>B20/$B$12</f>
        <v>0.0987235857802828</v>
      </c>
      <c r="D20" s="17" t="n"/>
    </row>
    <row r="21">
      <c r="A21" s="18" t="inlineStr">
        <is>
          <t>Amortización</t>
        </is>
      </c>
      <c r="B21" s="19" t="n">
        <v>-36143</v>
      </c>
      <c r="C21" s="20">
        <f>B21/$B$12</f>
        <v>-0.007882419933233987</v>
      </c>
    </row>
    <row r="22">
      <c r="A22" s="14" t="inlineStr">
        <is>
          <t>EBIT</t>
        </is>
      </c>
      <c r="B22" s="15">
        <f>B20+B21</f>
        <v>416531.0</v>
      </c>
      <c r="C22" s="16">
        <f>B22/$B$12</f>
        <v>0.09084116584704882</v>
      </c>
      <c r="D22" s="17" t="n"/>
    </row>
    <row r="23">
      <c r="A23" s="18" t="inlineStr">
        <is>
          <t>Gastos financieros</t>
        </is>
      </c>
      <c r="B23" s="19" t="n">
        <v>-44046</v>
      </c>
      <c r="C23" s="20">
        <f>B23/$B$12</f>
        <v>-0.009605983686446176</v>
      </c>
      <c r="D23" s="21" t="inlineStr">
        <is>
          <t>Al 7,5% → ver bloque 6</t>
        </is>
      </c>
    </row>
    <row r="24">
      <c r="A24" s="14" t="inlineStr">
        <is>
          <t>RESULTADO ANTES DE IMPUESTOS</t>
        </is>
      </c>
      <c r="B24" s="15">
        <f>B22+B23</f>
        <v>372485.0</v>
      </c>
      <c r="C24" s="16">
        <f>B24/$B$12</f>
        <v>0.08123518216060265</v>
      </c>
      <c r="D24" s="17" t="n"/>
    </row>
    <row r="25">
      <c r="A25" s="18" t="inlineStr">
        <is>
          <t>Impuestos</t>
        </is>
      </c>
      <c r="B25" s="19" t="n">
        <v>-93121</v>
      </c>
      <c r="C25" s="20">
        <f>B25/$B$12</f>
        <v>-0.020308741017698643</v>
      </c>
    </row>
    <row r="26">
      <c r="A26" s="14" t="inlineStr">
        <is>
          <t>RESULTADO NETO</t>
        </is>
      </c>
      <c r="B26" s="15">
        <f>B24+B25</f>
        <v>279364.0</v>
      </c>
      <c r="C26" s="16">
        <f>B26/$B$12</f>
        <v>0.060926441142904</v>
      </c>
      <c r="D26" s="17" t="n"/>
    </row>
    <row r="28">
      <c r="A28" s="3" t="inlineStr">
        <is>
          <t>2. SEPARAR COSTES FIJOS DE VARIABLES</t>
        </is>
      </c>
      <c r="B28" s="4" t="n"/>
      <c r="C28" s="4" t="n"/>
      <c r="D28" s="22" t="inlineStr">
        <is>
          <t>→ VA AL INFORME</t>
        </is>
      </c>
    </row>
    <row r="29" ht="41.5" customHeight="1">
      <c r="A29" s="5" t="inlineStr">
        <is>
          <t>EL cálculo del caso. Persán es un pedido incremental, y un pedido incremental no se juzga con costes completos sino con margen de contribución: lo que deja cada venta una vez pagado lo que esa venta consume. Sin esta separación no se puede opinar del contrato. Fíjate en que al final reconstruye el EBITDA exacto del Anexo 1.</t>
        </is>
      </c>
      <c r="B29" s="6" t="n"/>
      <c r="C29" s="6" t="n"/>
      <c r="D29" s="6" t="n"/>
    </row>
    <row r="30">
      <c r="A30" s="12" t="inlineStr">
        <is>
          <t>Concepto</t>
        </is>
      </c>
      <c r="B30" s="13" t="inlineStr">
        <is>
          <t>Importe</t>
        </is>
      </c>
      <c r="C30" s="13" t="inlineStr">
        <is>
          <t>% s/ventas</t>
        </is>
      </c>
      <c r="D30" s="13" t="inlineStr"/>
    </row>
    <row r="31">
      <c r="A31" s="18" t="inlineStr">
        <is>
          <t>Consumo real de materia prima</t>
        </is>
      </c>
      <c r="B31" s="23">
        <f>-B14-B13</f>
        <v>2692444.0</v>
      </c>
      <c r="C31" s="20">
        <f>B31/B12</f>
        <v>0.5871945952111404</v>
      </c>
      <c r="D31" s="21" t="inlineStr">
        <is>
          <t>Compras menos lo que quedó en almacén</t>
        </is>
      </c>
    </row>
    <row r="32">
      <c r="A32" s="18" t="inlineStr">
        <is>
          <t>Transporte</t>
        </is>
      </c>
      <c r="B32" s="23">
        <f>-B17</f>
        <v>268218.0</v>
      </c>
      <c r="C32" s="20">
        <f>B32/B12</f>
        <v>0.05849561214210645</v>
      </c>
    </row>
    <row r="33">
      <c r="A33" s="18" t="inlineStr">
        <is>
          <t>Otros costes de explotación</t>
        </is>
      </c>
      <c r="B33" s="23">
        <f>-B19</f>
        <v>378979.0</v>
      </c>
      <c r="C33" s="20">
        <f>B33/B12</f>
        <v>0.08265145737423797</v>
      </c>
    </row>
    <row r="34">
      <c r="A34" s="14" t="inlineStr">
        <is>
          <t>TOTAL COSTES VARIABLES</t>
        </is>
      </c>
      <c r="B34" s="15">
        <f>SUM(B31:B33)</f>
        <v>3339641.0</v>
      </c>
      <c r="C34" s="16">
        <f>B34/B12</f>
        <v>0.7283416647274847</v>
      </c>
      <c r="D34" s="24" t="inlineStr">
        <is>
          <t>Crecen si se fabrica más</t>
        </is>
      </c>
    </row>
    <row r="35">
      <c r="A35" s="25" t="inlineStr">
        <is>
          <t>MARGEN DE CONTRIBUCIÓN</t>
        </is>
      </c>
      <c r="B35" s="26">
        <f>B12-B34</f>
        <v>1245626.0</v>
      </c>
      <c r="C35" s="27">
        <f>B35/B12</f>
        <v>0.2716583352725152</v>
      </c>
      <c r="D35" s="28" t="inlineStr">
        <is>
          <t>Cada euro vendido deja 27 céntimos</t>
        </is>
      </c>
    </row>
    <row r="36">
      <c r="A36" s="18" t="inlineStr">
        <is>
          <t>Personal de producción</t>
        </is>
      </c>
      <c r="B36" s="23">
        <f>-B16</f>
        <v>481660.0</v>
      </c>
      <c r="C36" s="20">
        <f>B36/B12</f>
        <v>0.10504513695712812</v>
      </c>
      <c r="D36" s="21" t="inlineStr">
        <is>
          <t>Fijo: Esteban no quiere despidos</t>
        </is>
      </c>
    </row>
    <row r="37">
      <c r="A37" s="18" t="inlineStr">
        <is>
          <t>Personal de estructura</t>
        </is>
      </c>
      <c r="B37" s="23">
        <f>-B18</f>
        <v>311292.0</v>
      </c>
      <c r="C37" s="20">
        <f>B37/B12</f>
        <v>0.06788961253510428</v>
      </c>
    </row>
    <row r="38">
      <c r="A38" s="14" t="inlineStr">
        <is>
          <t>TOTAL COSTES FIJOS</t>
        </is>
      </c>
      <c r="B38" s="15">
        <f>B36+B37</f>
        <v>792952.0</v>
      </c>
      <c r="C38" s="16">
        <f>B38/B12</f>
        <v>0.1729347494922324</v>
      </c>
      <c r="D38" s="24" t="inlineStr">
        <is>
          <t>Se pagan igual se fabrique o no</t>
        </is>
      </c>
    </row>
    <row r="39">
      <c r="A39" s="18" t="inlineStr">
        <is>
          <t>EBITDA reconstruido</t>
        </is>
      </c>
      <c r="B39" s="29">
        <f>B35-B38</f>
        <v>452674.0</v>
      </c>
      <c r="C39" s="20">
        <f>B39/B12</f>
        <v>0.0987235857802828</v>
      </c>
    </row>
    <row r="40">
      <c r="A40" s="25" t="inlineStr">
        <is>
          <t>Diferencia con el EBITDA del Anexo 1</t>
        </is>
      </c>
      <c r="B40" s="26">
        <f>B39-B20</f>
        <v>0.0</v>
      </c>
      <c r="C40" s="30" t="n"/>
      <c r="D40" s="28" t="inlineStr">
        <is>
          <t>Cuadra al euro: la estructura es indiscutible</t>
        </is>
      </c>
    </row>
    <row r="42">
      <c r="A42" s="3" t="inlineStr">
        <is>
          <t>3. ¿CUÁNTA CAJA GENERÓ REALMENTE LA EMPRESA?</t>
        </is>
      </c>
      <c r="B42" s="4" t="n"/>
      <c r="C42" s="4" t="n"/>
      <c r="D42" s="22" t="inlineStr">
        <is>
          <t>→ VA AL INFORME</t>
        </is>
      </c>
    </row>
    <row r="43" ht="41.5" customHeight="1">
      <c r="A43" s="5" t="inlineStr">
        <is>
          <t>Hay dos peticiones de dinero sobre la mesa: la casa de los fundadores y los 643.000 € que exige Persán el primer año. La respuesta no está en el beneficio, está aquí. Alcopalet compró 376.062 € más de madera de la que consumió: eso es beneficio contable que salió del banco y sigue en el almacén.</t>
        </is>
      </c>
      <c r="B43" s="6" t="n"/>
      <c r="C43" s="6" t="n"/>
      <c r="D43" s="6" t="n"/>
    </row>
    <row r="44">
      <c r="A44" s="12" t="inlineStr">
        <is>
          <t>Concepto</t>
        </is>
      </c>
      <c r="B44" s="13" t="inlineStr">
        <is>
          <t>Importe</t>
        </is>
      </c>
      <c r="C44" s="13" t="inlineStr"/>
      <c r="D44" s="13" t="inlineStr"/>
    </row>
    <row r="45">
      <c r="A45" s="18" t="inlineStr">
        <is>
          <t>EBITDA</t>
        </is>
      </c>
      <c r="B45" s="23">
        <f>B20</f>
        <v>452674.0</v>
      </c>
    </row>
    <row r="46">
      <c r="A46" s="18" t="inlineStr">
        <is>
          <t>(−) Aumento de existencias</t>
        </is>
      </c>
      <c r="B46" s="23">
        <f>-B13</f>
        <v>-376062.0</v>
      </c>
      <c r="D46" s="21" t="inlineStr">
        <is>
          <t>Madera comprada, aún sin vender</t>
        </is>
      </c>
    </row>
    <row r="47">
      <c r="A47" s="18" t="inlineStr">
        <is>
          <t>(−) Gastos financieros</t>
        </is>
      </c>
      <c r="B47" s="23">
        <f>B23</f>
        <v>-44046.0</v>
      </c>
    </row>
    <row r="48">
      <c r="A48" s="18" t="inlineStr">
        <is>
          <t>(−) Impuestos</t>
        </is>
      </c>
      <c r="B48" s="23">
        <f>B25</f>
        <v>-93121.0</v>
      </c>
    </row>
    <row r="49">
      <c r="A49" s="31" t="inlineStr">
        <is>
          <t>CAJA OPERATIVA APROXIMADA</t>
        </is>
      </c>
      <c r="B49" s="32">
        <f>SUM(B45:B48)</f>
        <v>-60555.0</v>
      </c>
      <c r="C49" s="33" t="n"/>
      <c r="D49" s="34" t="inlineStr">
        <is>
          <t>NEGATIVA, con 279.364 € de beneficio</t>
        </is>
      </c>
    </row>
    <row r="50">
      <c r="A50" s="18" t="inlineStr">
        <is>
          <t>Resultado neto contable</t>
        </is>
      </c>
      <c r="B50" s="23">
        <f>B26</f>
        <v>279364.0</v>
      </c>
    </row>
    <row r="51">
      <c r="A51" s="31" t="inlineStr">
        <is>
          <t>BRECHA entre beneficio y caja</t>
        </is>
      </c>
      <c r="B51" s="35">
        <f>B26-B49</f>
        <v>339919.0</v>
      </c>
      <c r="C51" s="33" t="n"/>
      <c r="D51" s="34" t="inlineStr">
        <is>
          <t>El beneficio está en el almacén, no en el banco</t>
        </is>
      </c>
    </row>
    <row r="52">
      <c r="A52" s="18" t="inlineStr">
        <is>
          <t>Aviso a declarar en el informe</t>
        </is>
      </c>
      <c r="D52" s="21" t="inlineStr">
        <is>
          <t>No hay balance en el caso: se ignoran clientes y proveedores. Es aproximación.</t>
        </is>
      </c>
    </row>
    <row r="54">
      <c r="A54" s="3" t="inlineStr">
        <is>
          <t>4. PUNTO MUERTO Y APALANCAMIENTO</t>
        </is>
      </c>
      <c r="B54" s="4" t="n"/>
      <c r="C54" s="4" t="n"/>
      <c r="D54" s="22" t="inlineStr">
        <is>
          <t>→ VA AL INFORME</t>
        </is>
      </c>
    </row>
    <row r="55" ht="41.5" customHeight="1">
      <c r="A55" s="5" t="inlineStr">
        <is>
          <t>Mide el colchón: cuánto puede caer la facturación antes de entrar en pérdidas. Sirve para dos cosas opuestas y ambas útiles: demuestra que la empresa está sana HOY, y demuestra que Persán empeora las dos variables a la vez (sube los costes fijos en 108.000 € de campa y leasing, y aporta margen negativo).</t>
        </is>
      </c>
      <c r="B55" s="6" t="n"/>
      <c r="C55" s="6" t="n"/>
      <c r="D55" s="6" t="n"/>
    </row>
    <row r="56">
      <c r="A56" s="12" t="inlineStr">
        <is>
          <t>Concepto</t>
        </is>
      </c>
      <c r="B56" s="13" t="inlineStr">
        <is>
          <t>Importe</t>
        </is>
      </c>
      <c r="C56" s="13" t="inlineStr"/>
      <c r="D56" s="13" t="inlineStr"/>
    </row>
    <row r="57">
      <c r="A57" s="18" t="inlineStr">
        <is>
          <t>Ratio de margen de contribución</t>
        </is>
      </c>
      <c r="B57" s="36">
        <f>B35/B12</f>
        <v>0.2716583352725152</v>
      </c>
    </row>
    <row r="58">
      <c r="A58" s="18" t="inlineStr">
        <is>
          <t>Punto muerto (EBITDA = 0)</t>
        </is>
      </c>
      <c r="B58" s="23">
        <f>B38/B57</f>
        <v>2918931.2347237454</v>
      </c>
      <c r="D58" s="21" t="inlineStr">
        <is>
          <t>Ventas para no perder caja</t>
        </is>
      </c>
    </row>
    <row r="59">
      <c r="A59" s="14" t="inlineStr">
        <is>
          <t>PUNTO MUERTO (resultado = 0)</t>
        </is>
      </c>
      <c r="B59" s="15">
        <f>(B38-B21-B23)/B57</f>
        <v>3214114.5204475503</v>
      </c>
      <c r="C59" s="17" t="n"/>
      <c r="D59" s="24" t="inlineStr">
        <is>
          <t>Ventas para no entrar en pérdidas</t>
        </is>
      </c>
    </row>
    <row r="60">
      <c r="A60" s="18" t="inlineStr">
        <is>
          <t>Ventas reales 2025</t>
        </is>
      </c>
      <c r="B60" s="23">
        <f>B12</f>
        <v>4585267.0</v>
      </c>
    </row>
    <row r="61">
      <c r="A61" s="25" t="inlineStr">
        <is>
          <t>MARGEN DE SEGURIDAD</t>
        </is>
      </c>
      <c r="B61" s="37">
        <f>(B12-B59)/B12</f>
        <v>0.2990343811063673</v>
      </c>
      <c r="C61" s="30" t="n"/>
      <c r="D61" s="28" t="inlineStr">
        <is>
          <t>Puede caer un 30% antes de perder dinero</t>
        </is>
      </c>
    </row>
    <row r="62">
      <c r="A62" s="18" t="inlineStr">
        <is>
          <t>Apalancamiento operativo</t>
        </is>
      </c>
      <c r="B62" s="38">
        <f>B35/B20</f>
        <v>2.751706526109297</v>
      </c>
      <c r="D62" s="21" t="inlineStr">
        <is>
          <t>1% menos de margen mueve el EBITDA un 2,75%</t>
        </is>
      </c>
    </row>
    <row r="64">
      <c r="A64" s="3" t="inlineStr">
        <is>
          <t>5. COMPROBACIÓN: ¿CUADRA EL ANEXO 1 CON EL ANEXO 3?</t>
        </is>
      </c>
      <c r="B64" s="4" t="n"/>
      <c r="C64" s="4" t="n"/>
      <c r="D64" s="22" t="inlineStr">
        <is>
          <t>no va al informe</t>
        </is>
      </c>
    </row>
    <row r="65" ht="29" customHeight="1">
      <c r="A65" s="5" t="inlineStr">
        <is>
          <t>Esto no se publica: es lo que te autoriza a usar el escandallo del Anexo 3 sin que nadie te lo discuta. Si alguien dice que los anexos no cuadran, esta es la respuesta.</t>
        </is>
      </c>
      <c r="B65" s="6" t="n"/>
      <c r="C65" s="6" t="n"/>
      <c r="D65" s="6" t="n"/>
    </row>
    <row r="66">
      <c r="A66" s="12" t="inlineStr">
        <is>
          <t>Concepto</t>
        </is>
      </c>
      <c r="B66" s="13" t="inlineStr">
        <is>
          <t>Importe</t>
        </is>
      </c>
      <c r="C66" s="13" t="inlineStr"/>
      <c r="D66" s="13" t="inlineStr"/>
    </row>
    <row r="67">
      <c r="A67" s="18" t="inlineStr">
        <is>
          <t>Consumo real según el Anexo 1</t>
        </is>
      </c>
      <c r="B67" s="23">
        <f>B31</f>
        <v>2692444.0</v>
      </c>
    </row>
    <row r="68">
      <c r="A68" s="18" t="inlineStr">
        <is>
          <t>Materia prima según el Anexo 3</t>
        </is>
      </c>
      <c r="B68" s="19" t="n">
        <v>2692732</v>
      </c>
      <c r="D68" s="21" t="inlineStr">
        <is>
          <t>8,27 € × 174.504 nuevos + 4,80 € × 260.330 usados</t>
        </is>
      </c>
    </row>
    <row r="69">
      <c r="A69" s="25" t="inlineStr">
        <is>
          <t>DESVIACIÓN</t>
        </is>
      </c>
      <c r="B69" s="26">
        <f>B67-B68</f>
        <v>-288.0</v>
      </c>
      <c r="C69" s="30" t="n"/>
      <c r="D69" s="28" t="inlineStr">
        <is>
          <t>288 € sobre 2,7 millones: los anexos son coherentes</t>
        </is>
      </c>
    </row>
    <row r="71">
      <c r="A71" s="3" t="inlineStr">
        <is>
          <t>6. ENDEUDAMIENTO IMPLÍCITO</t>
        </is>
      </c>
      <c r="B71" s="4" t="n"/>
      <c r="C71" s="4" t="n"/>
      <c r="D71" s="22" t="inlineStr">
        <is>
          <t>al anexo / turno de preguntas</t>
        </is>
      </c>
    </row>
    <row r="72" ht="29" customHeight="1">
      <c r="A72" s="5" t="inlineStr">
        <is>
          <t>El caso no da balance, pero los gastos financieros divididos por el tipo del banco reconstruyen la deuda aproximada. Es tu respuesta si te preguntan «¿y no lo puede financiar el banco?».</t>
        </is>
      </c>
      <c r="B72" s="6" t="n"/>
      <c r="C72" s="6" t="n"/>
      <c r="D72" s="6" t="n"/>
    </row>
    <row r="73">
      <c r="A73" s="12" t="inlineStr">
        <is>
          <t>Concepto</t>
        </is>
      </c>
      <c r="B73" s="13" t="inlineStr">
        <is>
          <t>Importe</t>
        </is>
      </c>
      <c r="C73" s="13" t="inlineStr"/>
      <c r="D73" s="13" t="inlineStr"/>
    </row>
    <row r="74">
      <c r="A74" s="18" t="inlineStr">
        <is>
          <t>Tipo de interés del banco</t>
        </is>
      </c>
      <c r="B74" s="39" t="n">
        <v>0.075</v>
      </c>
    </row>
    <row r="75">
      <c r="A75" s="18" t="inlineStr">
        <is>
          <t>Deuda implícita</t>
        </is>
      </c>
      <c r="B75" s="29">
        <f>-B23/B74</f>
        <v>587280.0</v>
      </c>
    </row>
    <row r="76">
      <c r="A76" s="25" t="inlineStr">
        <is>
          <t>Deuda / EBITDA — HOY</t>
        </is>
      </c>
      <c r="B76" s="40">
        <f>B75/B20</f>
        <v>1.2973574802175516</v>
      </c>
      <c r="C76" s="30" t="n"/>
      <c r="D76" s="28" t="inlineStr">
        <is>
          <t>Por debajo de 2x: el banco presta sin problema</t>
        </is>
      </c>
    </row>
    <row r="77">
      <c r="A77" s="18" t="inlineStr">
        <is>
          <t>Cobertura de intereses</t>
        </is>
      </c>
      <c r="B77" s="41">
        <f>B20/-B23</f>
        <v>10.277301003496344</v>
      </c>
    </row>
    <row r="78">
      <c r="A78" s="18" t="inlineStr">
        <is>
          <t>Deuda estimada TRAS Persán</t>
        </is>
      </c>
      <c r="B78" s="23">
        <f>B75+190000+454356</f>
        <v>1231636.0</v>
      </c>
      <c r="D78" s="21" t="inlineStr">
        <is>
          <t>+190.000 leasing +454.356 circulante a 180 días</t>
        </is>
      </c>
    </row>
    <row r="79">
      <c r="A79" s="18" t="inlineStr">
        <is>
          <t>EBITDA estimado TRAS Persán</t>
        </is>
      </c>
      <c r="B79" s="23">
        <f>B20-154800</f>
        <v>297874.0</v>
      </c>
      <c r="D79" s="21" t="inlineStr">
        <is>
          <t>−46.800 margen −60.000 campa −48.000 leasing</t>
        </is>
      </c>
    </row>
    <row r="80">
      <c r="A80" s="31" t="inlineStr">
        <is>
          <t>Deuda / EBITDA — TRAS PERSÁN</t>
        </is>
      </c>
      <c r="B80" s="42">
        <f>B78/B79</f>
        <v>4.13475496350806</v>
      </c>
      <c r="C80" s="33" t="n"/>
      <c r="D80" s="34" t="inlineStr">
        <is>
          <t>Por encima de 4x el banco pone condiciones</t>
        </is>
      </c>
    </row>
    <row r="82">
      <c r="A82" s="3" t="inlineStr">
        <is>
          <t>7. COSTE REAL DEL TRANSPORTE</t>
        </is>
      </c>
      <c r="B82" s="4" t="n"/>
      <c r="C82" s="4" t="n"/>
      <c r="D82" s="22" t="inlineStr">
        <is>
          <t>inferencia propia</t>
        </is>
      </c>
    </row>
    <row r="83" ht="41.5" customHeight="1">
      <c r="A83" s="5" t="inlineStr">
        <is>
          <t>El contrato exige DOS camiones de retén permanente. Conviene comprobar si el coste que el Anexo 3 asigna a Persán es coherente con lo que cuestan los camiones actuales. OJO: es una inferencia tuya, no un dato del caso, y hay que presentarla como tal.</t>
        </is>
      </c>
      <c r="B83" s="6" t="n"/>
      <c r="C83" s="6" t="n"/>
      <c r="D83" s="6" t="n"/>
    </row>
    <row r="84">
      <c r="A84" s="12" t="inlineStr">
        <is>
          <t>Concepto</t>
        </is>
      </c>
      <c r="B84" s="13" t="inlineStr">
        <is>
          <t>Importe</t>
        </is>
      </c>
      <c r="C84" s="13" t="inlineStr"/>
      <c r="D84" s="13" t="inlineStr"/>
    </row>
    <row r="85">
      <c r="A85" s="18" t="inlineStr">
        <is>
          <t>Coste total de transporte 2025</t>
        </is>
      </c>
      <c r="B85" s="23">
        <f>-B17</f>
        <v>268218.0</v>
      </c>
    </row>
    <row r="86">
      <c r="A86" s="18" t="inlineStr">
        <is>
          <t>Número de camiones actuales</t>
        </is>
      </c>
      <c r="B86" s="43" t="n">
        <v>2</v>
      </c>
    </row>
    <row r="87">
      <c r="A87" s="14" t="inlineStr">
        <is>
          <t>COSTE POR CAMIÓN Y AÑO</t>
        </is>
      </c>
      <c r="B87" s="15">
        <f>B85/B86</f>
        <v>134109.0</v>
      </c>
      <c r="C87" s="17" t="n"/>
      <c r="D87" s="17" t="n"/>
    </row>
    <row r="88">
      <c r="A88" s="18" t="inlineStr">
        <is>
          <t>Transporte asignado a Persán (Anexo 3)</t>
        </is>
      </c>
      <c r="B88" s="23">
        <f>0.53*90000</f>
        <v>47700.0</v>
      </c>
      <c r="D88" s="21" t="inlineStr">
        <is>
          <t>0,53 €/palet × 90.000 unidades</t>
        </is>
      </c>
    </row>
    <row r="89">
      <c r="A89" s="31" t="inlineStr">
        <is>
          <t>DIFERENCIA si el 3er camión va a Persán</t>
        </is>
      </c>
      <c r="B89" s="35">
        <f>B87-B88</f>
        <v>86409.0</v>
      </c>
      <c r="C89" s="33" t="n"/>
      <c r="D89" s="34" t="inlineStr">
        <is>
          <t>El escandallo es optimista: el contrato es peor</t>
        </is>
      </c>
    </row>
    <row r="91">
      <c r="A91" s="3" t="inlineStr">
        <is>
          <t>QUÉ DICE, EN CUATRO FRASES</t>
        </is>
      </c>
      <c r="B91" s="4" t="n"/>
      <c r="C91" s="4" t="n"/>
      <c r="D91" s="4" t="n"/>
    </row>
    <row r="92" ht="31" customHeight="1">
      <c r="A92" s="44" t="inlineStr">
        <is>
          <t>• El 72,8% de la facturación se va en costes variables, y la madera sola es el 58,7%. Alcopalet es, en lo económico, una transformadora de madera con margen estrecho sobre una materia prima que no controla.</t>
        </is>
      </c>
    </row>
    <row r="93" ht="31" customHeight="1">
      <c r="A93" s="44" t="inlineStr">
        <is>
          <t>• Con esa estructura el precio de venta no es una variable comercial: es LA variable. Vender a 10 € un palet cuyo coste variable es 10,52 € no es un descuento agresivo.</t>
        </is>
      </c>
    </row>
    <row r="94" ht="31" customHeight="1">
      <c r="A94" s="44" t="inlineStr">
        <is>
          <t>• El apalancamiento de 2,75x amplifica cualquier error de precio, y Persán añade 108.000 € de costes fijos sin aportar contribución alguna.</t>
        </is>
      </c>
    </row>
    <row r="95" ht="31" customHeight="1">
      <c r="A95" s="44" t="inlineStr">
        <is>
          <t>• La empresa está sana hoy (30% de margen de seguridad) pero no generó caja. El debate del comité está mal planteado: no es «invertir o repartir», es que ahora mismo no hay caja para ninguna de las dos cosas.</t>
        </is>
      </c>
    </row>
  </sheetData>
  <mergeCells count="13">
    <mergeCell ref="A5:D5"/>
    <mergeCell ref="A94:D94"/>
    <mergeCell ref="A83:D83"/>
    <mergeCell ref="A92:D92"/>
    <mergeCell ref="A55:D55"/>
    <mergeCell ref="A29:D29"/>
    <mergeCell ref="A72:D72"/>
    <mergeCell ref="A65:D65"/>
    <mergeCell ref="A43:D43"/>
    <mergeCell ref="A95:D95"/>
    <mergeCell ref="A2:D2"/>
    <mergeCell ref="A10:D10"/>
    <mergeCell ref="A93:D9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2026-08-19T14:37:12Z</dcterms:created>
  <dcterms:modified xsi:type="dcterms:W3CDTF">2026-08-19T14:37:12Z</dcterms:modified>
</cp:coreProperties>
</file>