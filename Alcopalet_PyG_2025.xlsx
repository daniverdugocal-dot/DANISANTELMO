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€&quot;;(#,##0) &quot;€&quot;;&quot;-&quot;"/>
    <numFmt numFmtId="165" formatCode="0.0%;(0.0%);&quot;-&quot;"/>
    <numFmt numFmtId="166" formatCode="0.00&quot;x&quot;"/>
    <numFmt numFmtId="167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/>
    </xf>
    <xf numFmtId="0" fontId="5" fillId="4" borderId="0" pivotButton="0" quotePrefix="0" xfId="0"/>
    <xf numFmtId="164" fontId="6" fillId="4" borderId="0" pivotButton="0" quotePrefix="0" xfId="0"/>
    <xf numFmtId="165" fontId="7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164" fontId="6" fillId="0" borderId="0" pivotButton="0" quotePrefix="0" xfId="0"/>
    <xf numFmtId="165" fontId="7" fillId="0" borderId="0" pivotButton="0" quotePrefix="0" xfId="0"/>
    <xf numFmtId="0" fontId="2" fillId="0" borderId="0" applyAlignment="1" pivotButton="0" quotePrefix="0" xfId="0">
      <alignment vertical="top" wrapText="1"/>
    </xf>
    <xf numFmtId="164" fontId="5" fillId="4" borderId="0" pivotButton="0" quotePrefix="0" xfId="0"/>
    <xf numFmtId="164" fontId="7" fillId="4" borderId="0" pivotButton="0" quotePrefix="0" xfId="0"/>
    <xf numFmtId="164" fontId="7" fillId="0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0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165" fontId="8" fillId="5" borderId="0" pivotButton="0" quotePrefix="0" xfId="0"/>
    <xf numFmtId="166" fontId="5" fillId="0" borderId="0" pivotButton="0" quotePrefix="0" xfId="0"/>
    <xf numFmtId="0" fontId="5" fillId="6" borderId="0" pivotButton="0" quotePrefix="0" xfId="0"/>
    <xf numFmtId="164" fontId="8" fillId="6" borderId="0" pivotButton="0" quotePrefix="0" xfId="0"/>
    <xf numFmtId="0" fontId="0" fillId="6" borderId="0" pivotButton="0" quotePrefix="0" xfId="0"/>
    <xf numFmtId="0" fontId="2" fillId="6" borderId="0" applyAlignment="1" pivotButton="0" quotePrefix="0" xfId="0">
      <alignment vertical="top" wrapText="1"/>
    </xf>
    <xf numFmtId="165" fontId="6" fillId="0" borderId="0" pivotButton="0" quotePrefix="0" xfId="0"/>
    <xf numFmtId="166" fontId="5" fillId="5" borderId="0" pivotButton="0" quotePrefix="0" xfId="0"/>
    <xf numFmtId="166" fontId="8" fillId="6" borderId="0" pivotButton="0" quotePrefix="0" xfId="0"/>
    <xf numFmtId="167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1" customWidth="1" min="3" max="3"/>
    <col width="14" customWidth="1" min="4" max="4"/>
    <col width="72" customWidth="1" min="5" max="5"/>
  </cols>
  <sheetData>
    <row r="1">
      <c r="A1" s="1" t="inlineStr">
        <is>
          <t>ALCOPALET — Cuenta de resultados 2025 y análisis</t>
        </is>
      </c>
    </row>
    <row r="2">
      <c r="A2" s="2" t="inlineStr">
        <is>
          <t>Caso DTI-1399 · Programa Lydes 2026 · Azul = dato del Anexo 1 · Negro = fórmula calculada · Columna E = para qué sirve cada cálculo</t>
        </is>
      </c>
    </row>
    <row r="4">
      <c r="A4" s="3" t="inlineStr">
        <is>
          <t>LA CUENTA DE RESULTADOS DEL ANEXO 1</t>
        </is>
      </c>
      <c r="B4" s="4" t="n"/>
      <c r="C4" s="4" t="n"/>
      <c r="D4" s="4" t="n"/>
      <c r="E4" s="4" t="n"/>
    </row>
    <row r="5">
      <c r="A5" s="5" t="inlineStr">
        <is>
          <t>Concepto</t>
        </is>
      </c>
      <c r="B5" s="5" t="inlineStr">
        <is>
          <t>Importe 2025</t>
        </is>
      </c>
      <c r="C5" s="5" t="inlineStr">
        <is>
          <t>% s/ventas</t>
        </is>
      </c>
      <c r="D5" s="5" t="inlineStr">
        <is>
          <t>Dif. anexo</t>
        </is>
      </c>
      <c r="E5" s="5" t="inlineStr">
        <is>
          <t>Nota</t>
        </is>
      </c>
    </row>
    <row r="6">
      <c r="A6" s="6" t="inlineStr">
        <is>
          <t>VENTAS NETAS</t>
        </is>
      </c>
      <c r="B6" s="7" t="n">
        <v>4585267</v>
      </c>
      <c r="C6" s="8">
        <f>B6/$B$6</f>
        <v>1.0</v>
      </c>
      <c r="D6" s="9" t="n"/>
      <c r="E6" s="9" t="n"/>
    </row>
    <row r="7" ht="24" customHeight="1">
      <c r="A7" s="10" t="inlineStr">
        <is>
          <t>Variación de existencias</t>
        </is>
      </c>
      <c r="B7" s="11" t="n">
        <v>376062</v>
      </c>
      <c r="C7" s="12">
        <f>B7/$B$6</f>
        <v>0.08201528940408487</v>
      </c>
      <c r="E7" s="13" t="inlineStr">
        <is>
          <t>Aumento del almacén. Es ingreso contable, pero NO es caja: se compró más madera de la que se consumió.</t>
        </is>
      </c>
    </row>
    <row r="8" ht="15" customHeight="1">
      <c r="A8" s="10" t="inlineStr">
        <is>
          <t>Aprovisionamientos</t>
        </is>
      </c>
      <c r="B8" s="11" t="n">
        <v>-3068506</v>
      </c>
      <c r="C8" s="12">
        <f>B8/$B$6</f>
        <v>-0.6692098846152252</v>
      </c>
      <c r="E8" s="13" t="inlineStr">
        <is>
          <t>COMPRAS del ejercicio, no consumo. Ver cálculo 1.</t>
        </is>
      </c>
    </row>
    <row r="9">
      <c r="A9" s="6" t="inlineStr">
        <is>
          <t>MARGEN BRUTO</t>
        </is>
      </c>
      <c r="B9" s="14">
        <f>SUM(B6:B8)</f>
        <v>1892823.0</v>
      </c>
      <c r="C9" s="8">
        <f>B9/$B$6</f>
        <v>0.41280540478885963</v>
      </c>
      <c r="D9" s="15">
        <f>B9-1892822</f>
        <v>1.0</v>
      </c>
      <c r="E9" s="9" t="n"/>
    </row>
    <row r="10">
      <c r="A10" s="10" t="inlineStr">
        <is>
          <t>Gastos de personal — Producción</t>
        </is>
      </c>
      <c r="B10" s="11" t="n">
        <v>-481660</v>
      </c>
      <c r="C10" s="12">
        <f>B10/$B$6</f>
        <v>-0.10504513695712812</v>
      </c>
    </row>
    <row r="11" ht="15" customHeight="1">
      <c r="A11" s="10" t="inlineStr">
        <is>
          <t>Gastos de transporte</t>
        </is>
      </c>
      <c r="B11" s="11" t="n">
        <v>-268218</v>
      </c>
      <c r="C11" s="12">
        <f>B11/$B$6</f>
        <v>-0.05849561214210645</v>
      </c>
      <c r="E11" s="13" t="inlineStr">
        <is>
          <t>Los 2 camiones actuales, YA al 100% de capacidad. Ver cálculo 6.</t>
        </is>
      </c>
    </row>
    <row r="12">
      <c r="A12" s="10" t="inlineStr">
        <is>
          <t>Gastos de personal — Estructura</t>
        </is>
      </c>
      <c r="B12" s="11" t="n">
        <v>-311292</v>
      </c>
      <c r="C12" s="12">
        <f>B12/$B$6</f>
        <v>-0.06788961253510428</v>
      </c>
    </row>
    <row r="13" ht="15" customHeight="1">
      <c r="A13" s="10" t="inlineStr">
        <is>
          <t>Otros costes de explotación</t>
        </is>
      </c>
      <c r="B13" s="11" t="n">
        <v>-378979</v>
      </c>
      <c r="C13" s="12">
        <f>B13/$B$6</f>
        <v>-0.08265145737423797</v>
      </c>
      <c r="E13" s="13" t="inlineStr">
        <is>
          <t>El 60% corresponde a palet nuevo. Varían con el volumen.</t>
        </is>
      </c>
    </row>
    <row r="14">
      <c r="A14" s="6" t="inlineStr">
        <is>
          <t>EBITDA</t>
        </is>
      </c>
      <c r="B14" s="14">
        <f>B9+SUM(B10:B13)</f>
        <v>452674.0</v>
      </c>
      <c r="C14" s="8">
        <f>B14/$B$6</f>
        <v>0.0987235857802828</v>
      </c>
      <c r="D14" s="15">
        <f>B14-452674</f>
        <v>0.0</v>
      </c>
      <c r="E14" s="9" t="n"/>
    </row>
    <row r="15">
      <c r="A15" s="10" t="inlineStr">
        <is>
          <t>Amortización</t>
        </is>
      </c>
      <c r="B15" s="11" t="n">
        <v>-36143</v>
      </c>
      <c r="C15" s="12">
        <f>B15/$B$6</f>
        <v>-0.007882419933233987</v>
      </c>
    </row>
    <row r="16">
      <c r="A16" s="6" t="inlineStr">
        <is>
          <t>EBIT</t>
        </is>
      </c>
      <c r="B16" s="14">
        <f>B14+B15</f>
        <v>416531.0</v>
      </c>
      <c r="C16" s="8">
        <f>B16/$B$6</f>
        <v>0.09084116584704882</v>
      </c>
      <c r="D16" s="9" t="n"/>
      <c r="E16" s="9" t="n"/>
    </row>
    <row r="17" ht="15" customHeight="1">
      <c r="A17" s="10" t="inlineStr">
        <is>
          <t>Gastos financieros</t>
        </is>
      </c>
      <c r="B17" s="11" t="n">
        <v>-44046</v>
      </c>
      <c r="C17" s="12">
        <f>B17/$B$6</f>
        <v>-0.009605983686446176</v>
      </c>
      <c r="E17" s="13" t="inlineStr">
        <is>
          <t>Al 7,5% del banco, implican unos 587.000 € de deuda. Ver cálculo 5.</t>
        </is>
      </c>
    </row>
    <row r="18">
      <c r="A18" s="6" t="inlineStr">
        <is>
          <t>RESULTADO ANTES DE IMPUESTOS</t>
        </is>
      </c>
      <c r="B18" s="14">
        <f>B16+B17</f>
        <v>372485.0</v>
      </c>
      <c r="C18" s="8">
        <f>B18/$B$6</f>
        <v>0.08123518216060265</v>
      </c>
      <c r="D18" s="9" t="n"/>
      <c r="E18" s="9" t="n"/>
    </row>
    <row r="19">
      <c r="A19" s="10" t="inlineStr">
        <is>
          <t>Impuestos</t>
        </is>
      </c>
      <c r="B19" s="11" t="n">
        <v>-93121</v>
      </c>
      <c r="C19" s="12">
        <f>B19/$B$6</f>
        <v>-0.020308741017698643</v>
      </c>
    </row>
    <row r="20">
      <c r="A20" s="6" t="inlineStr">
        <is>
          <t>RESULTADO NETO</t>
        </is>
      </c>
      <c r="B20" s="14">
        <f>B18+B19</f>
        <v>279364.0</v>
      </c>
      <c r="C20" s="8">
        <f>B20/$B$6</f>
        <v>0.060926441142904</v>
      </c>
      <c r="D20" s="15">
        <f>B20-279364</f>
        <v>0.0</v>
      </c>
      <c r="E20" s="9" t="n"/>
    </row>
    <row r="22">
      <c r="A22" s="3" t="inlineStr">
        <is>
          <t>CÁLCULO 1 — CONSUMO REAL DE MATERIA PRIMA</t>
        </is>
      </c>
      <c r="B22" s="4" t="n"/>
      <c r="C22" s="4" t="n"/>
      <c r="D22" s="4" t="n"/>
      <c r="E22" s="4" t="n"/>
    </row>
    <row r="23" ht="36" customHeight="1">
      <c r="A23" s="10" t="inlineStr">
        <is>
          <t>¿PARA QUÉ? Conectar el Anexo 1 con el escandallo del Anexo 3.</t>
        </is>
      </c>
      <c r="E23" s="13" t="inlineStr">
        <is>
          <t>Los 3.068.506 € son lo que se COMPRÓ. Si usas esa cifra, el Anexo 3 parece descuadrado y acabas descartándolo. Restando el aumento de existencias, ambos anexos cuadran y puedes apoyarte en el escandallo con confianza.</t>
        </is>
      </c>
    </row>
    <row r="24">
      <c r="A24" s="10" t="inlineStr">
        <is>
          <t>Aprovisionamientos (compras)</t>
        </is>
      </c>
      <c r="B24" s="16">
        <f>-B8</f>
        <v>3068506.0</v>
      </c>
    </row>
    <row r="25">
      <c r="A25" s="10" t="inlineStr">
        <is>
          <t>(−) Aumento de existencias</t>
        </is>
      </c>
      <c r="B25" s="16">
        <f>-B7</f>
        <v>-376062.0</v>
      </c>
    </row>
    <row r="26">
      <c r="A26" s="6" t="inlineStr">
        <is>
          <t>CONSUMO REAL DE MATERIA PRIMA</t>
        </is>
      </c>
      <c r="B26" s="14">
        <f>-B8-B7</f>
        <v>2692444.0</v>
      </c>
      <c r="C26" s="8">
        <f>B26/B6</f>
        <v>0.5871945952111404</v>
      </c>
      <c r="D26" s="9" t="n"/>
      <c r="E26" s="9" t="n"/>
    </row>
    <row r="27" ht="15" customHeight="1">
      <c r="A27" s="10" t="inlineStr">
        <is>
          <t>Materia prima según el Anexo 3</t>
        </is>
      </c>
      <c r="B27" s="11" t="n">
        <v>2692732</v>
      </c>
      <c r="E27" s="13" t="inlineStr">
        <is>
          <t>8,27 €×174.504 palets nuevos + 4,80 €×260.330 palets usados.</t>
        </is>
      </c>
    </row>
    <row r="28" ht="15" customHeight="1">
      <c r="A28" s="17" t="inlineStr">
        <is>
          <t>DESVIACIÓN</t>
        </is>
      </c>
      <c r="B28" s="18">
        <f>B26-B27</f>
        <v>-288.0</v>
      </c>
      <c r="C28" s="19" t="n"/>
      <c r="D28" s="19" t="n"/>
      <c r="E28" s="20" t="inlineStr">
        <is>
          <t>288 € sobre 2,7 millones. Los anexos del caso son coherentes.</t>
        </is>
      </c>
    </row>
    <row r="30">
      <c r="A30" s="3" t="inlineStr">
        <is>
          <t>CÁLCULO 2 — SEPARAR COSTES FIJOS DE VARIABLES</t>
        </is>
      </c>
      <c r="B30" s="4" t="n"/>
      <c r="C30" s="4" t="n"/>
      <c r="D30" s="4" t="n"/>
      <c r="E30" s="4" t="n"/>
    </row>
    <row r="31" ht="36" customHeight="1">
      <c r="A31" s="10" t="inlineStr">
        <is>
          <t>¿PARA QUÉ? Es EL cálculo del caso.</t>
        </is>
      </c>
      <c r="E31" s="13" t="inlineStr">
        <is>
          <t>Persán es un pedido incremental, y un pedido incremental no se juzga con costes completos sino con margen de contribución. Sin esta separación no se puede decir nada del contrato.</t>
        </is>
      </c>
    </row>
    <row r="32">
      <c r="A32" s="10" t="inlineStr">
        <is>
          <t>Consumo de materia prima</t>
        </is>
      </c>
      <c r="B32" s="16">
        <f>B26</f>
        <v>2692444.0</v>
      </c>
      <c r="C32" s="12">
        <f>B32/B6</f>
        <v>0.5871945952111404</v>
      </c>
    </row>
    <row r="33">
      <c r="A33" s="10" t="inlineStr">
        <is>
          <t>Transporte</t>
        </is>
      </c>
      <c r="B33" s="16">
        <f>-B11</f>
        <v>268218.0</v>
      </c>
      <c r="C33" s="12">
        <f>B33/B6</f>
        <v>0.05849561214210645</v>
      </c>
    </row>
    <row r="34">
      <c r="A34" s="10" t="inlineStr">
        <is>
          <t>Otros costes de explotación</t>
        </is>
      </c>
      <c r="B34" s="16">
        <f>-B13</f>
        <v>378979.0</v>
      </c>
      <c r="C34" s="12">
        <f>B34/B6</f>
        <v>0.08265145737423797</v>
      </c>
    </row>
    <row r="35">
      <c r="A35" s="6" t="inlineStr">
        <is>
          <t>TOTAL COSTES VARIABLES</t>
        </is>
      </c>
      <c r="B35" s="14">
        <f>SUM(B32:B34)</f>
        <v>3339641.0</v>
      </c>
      <c r="C35" s="8">
        <f>B35/B6</f>
        <v>0.7283416647274847</v>
      </c>
      <c r="D35" s="9" t="n"/>
      <c r="E35" s="9" t="n"/>
    </row>
    <row r="36" ht="15" customHeight="1">
      <c r="A36" s="6" t="inlineStr">
        <is>
          <t>MARGEN DE CONTRIBUCIÓN</t>
        </is>
      </c>
      <c r="B36" s="14">
        <f>B6-B35</f>
        <v>1245626.0</v>
      </c>
      <c r="C36" s="8">
        <f>B36/B6</f>
        <v>0.2716583352725152</v>
      </c>
      <c r="D36" s="9" t="n"/>
      <c r="E36" s="21" t="inlineStr">
        <is>
          <t>Cada euro vendido deja 27 céntimos para pagar la estructura.</t>
        </is>
      </c>
    </row>
    <row r="37" ht="15" customHeight="1">
      <c r="A37" s="10" t="inlineStr">
        <is>
          <t>Personal de producción</t>
        </is>
      </c>
      <c r="B37" s="16">
        <f>-B10</f>
        <v>481660.0</v>
      </c>
      <c r="C37" s="12">
        <f>B37/B6</f>
        <v>0.10504513695712812</v>
      </c>
      <c r="E37" s="13" t="inlineStr">
        <is>
          <t>Fijo en la práctica: Esteban afirma que no quiere despidos.</t>
        </is>
      </c>
    </row>
    <row r="38">
      <c r="A38" s="10" t="inlineStr">
        <is>
          <t>Personal de estructura</t>
        </is>
      </c>
      <c r="B38" s="16">
        <f>-B12</f>
        <v>311292.0</v>
      </c>
      <c r="C38" s="12">
        <f>B38/B6</f>
        <v>0.06788961253510428</v>
      </c>
    </row>
    <row r="39">
      <c r="A39" s="6" t="inlineStr">
        <is>
          <t>TOTAL COSTES FIJOS</t>
        </is>
      </c>
      <c r="B39" s="14">
        <f>B37+B38</f>
        <v>792952.0</v>
      </c>
      <c r="C39" s="8">
        <f>B39/B6</f>
        <v>0.1729347494922324</v>
      </c>
      <c r="D39" s="9" t="n"/>
      <c r="E39" s="9" t="n"/>
    </row>
    <row r="40">
      <c r="A40" s="10" t="inlineStr">
        <is>
          <t>EBITDA (comprobación)</t>
        </is>
      </c>
      <c r="B40" s="22">
        <f>B36-B39</f>
        <v>452674.0</v>
      </c>
      <c r="C40" s="12">
        <f>B40/B6</f>
        <v>0.0987235857802828</v>
      </c>
    </row>
    <row r="41" ht="15" customHeight="1">
      <c r="A41" s="17" t="inlineStr">
        <is>
          <t>Diferencia con el EBITDA del Anexo 1</t>
        </is>
      </c>
      <c r="B41" s="18">
        <f>B40-B14</f>
        <v>0.0</v>
      </c>
      <c r="C41" s="19" t="n"/>
      <c r="D41" s="19" t="n"/>
      <c r="E41" s="20" t="inlineStr">
        <is>
          <t>Cuadra al euro. Esta estructura se puede defender ante el jurado.</t>
        </is>
      </c>
    </row>
    <row r="43">
      <c r="A43" s="3" t="inlineStr">
        <is>
          <t>CÁLCULO 3 — PUNTO MUERTO Y APALANCAMIENTO OPERATIVO</t>
        </is>
      </c>
      <c r="B43" s="4" t="n"/>
      <c r="C43" s="4" t="n"/>
      <c r="D43" s="4" t="n"/>
      <c r="E43" s="4" t="n"/>
    </row>
    <row r="44" ht="36" customHeight="1">
      <c r="A44" s="10" t="inlineStr">
        <is>
          <t>¿PARA QUÉ? Medir el colchón y por qué Persán lo estrecha.</t>
        </is>
      </c>
      <c r="E44" s="13" t="inlineStr">
        <is>
          <t>Persán empeora las dos variables a la vez: sube los costes fijos en 108.000 € (campa + leasing) Y aporta margen de contribución negativo. Eleva el punto muerto mientras reduce la capacidad de alcanzarlo.</t>
        </is>
      </c>
    </row>
    <row r="45">
      <c r="A45" s="10" t="inlineStr">
        <is>
          <t>Ratio de margen de contribución</t>
        </is>
      </c>
      <c r="B45" s="23">
        <f>B36/B6</f>
        <v>0.2716583352725152</v>
      </c>
    </row>
    <row r="46">
      <c r="A46" s="10" t="inlineStr">
        <is>
          <t>Punto muerto (EBITDA = 0)</t>
        </is>
      </c>
      <c r="B46" s="22">
        <f>B39/B45</f>
        <v>2918931.2347237454</v>
      </c>
    </row>
    <row r="47">
      <c r="A47" s="6" t="inlineStr">
        <is>
          <t>PUNTO MUERTO (resultado = 0)</t>
        </is>
      </c>
      <c r="B47" s="14">
        <f>(B39-B15-B17)/B45</f>
        <v>3214114.5204475503</v>
      </c>
      <c r="C47" s="9" t="n"/>
      <c r="D47" s="9" t="n"/>
      <c r="E47" s="9" t="n"/>
    </row>
    <row r="48">
      <c r="A48" s="10" t="inlineStr">
        <is>
          <t>Ventas reales 2025</t>
        </is>
      </c>
      <c r="B48" s="16">
        <f>B6</f>
        <v>4585267.0</v>
      </c>
    </row>
    <row r="49" ht="24" customHeight="1">
      <c r="A49" s="17" t="inlineStr">
        <is>
          <t>MARGEN DE SEGURIDAD</t>
        </is>
      </c>
      <c r="B49" s="24">
        <f>(B6-B47)/B6</f>
        <v>0.2990343811063673</v>
      </c>
      <c r="C49" s="19" t="n"/>
      <c r="D49" s="19" t="n"/>
      <c r="E49" s="20" t="inlineStr">
        <is>
          <t>La facturación puede caer un 30% antes de entrar en pérdidas. La empresa está sana HOY.</t>
        </is>
      </c>
    </row>
    <row r="50" ht="24" customHeight="1">
      <c r="A50" s="10" t="inlineStr">
        <is>
          <t>Apalancamiento operativo</t>
        </is>
      </c>
      <c r="B50" s="25">
        <f>B36/B14</f>
        <v>2.751706526109297</v>
      </c>
      <c r="E50" s="13" t="inlineStr">
        <is>
          <t>Un 1% menos de margen de contribución mueve el EBITDA un 2,75%. Los errores de precio se amplifican.</t>
        </is>
      </c>
    </row>
    <row r="52">
      <c r="A52" s="3" t="inlineStr">
        <is>
          <t>CÁLCULO 4 — ¿CUÁNTA CAJA GENERÓ REALMENTE LA EMPRESA?</t>
        </is>
      </c>
      <c r="B52" s="4" t="n"/>
      <c r="C52" s="4" t="n"/>
      <c r="D52" s="4" t="n"/>
      <c r="E52" s="4" t="n"/>
    </row>
    <row r="53" ht="36" customHeight="1">
      <c r="A53" s="10" t="inlineStr">
        <is>
          <t>¿PARA QUÉ? Responder a los padres y al proyecto a la vez.</t>
        </is>
      </c>
      <c r="E53" s="13" t="inlineStr">
        <is>
          <t>Hay dos peticiones de dinero sobre la mesa: la casa de los fundadores y los 643.000 € que exige Persán el primer año. La respuesta no está en el resultado neto, está aquí.</t>
        </is>
      </c>
    </row>
    <row r="54">
      <c r="A54" s="10" t="inlineStr">
        <is>
          <t>EBITDA</t>
        </is>
      </c>
      <c r="B54" s="16">
        <f>B14</f>
        <v>452674.0</v>
      </c>
    </row>
    <row r="55" ht="15" customHeight="1">
      <c r="A55" s="10" t="inlineStr">
        <is>
          <t>(−) Aumento de existencias</t>
        </is>
      </c>
      <c r="B55" s="16">
        <f>-B7</f>
        <v>-376062.0</v>
      </c>
      <c r="E55" s="13" t="inlineStr">
        <is>
          <t>Salida de caja: madera comprada que sigue en el almacén.</t>
        </is>
      </c>
    </row>
    <row r="56">
      <c r="A56" s="10" t="inlineStr">
        <is>
          <t>(−) Gastos financieros</t>
        </is>
      </c>
      <c r="B56" s="16">
        <f>B17</f>
        <v>-44046.0</v>
      </c>
    </row>
    <row r="57">
      <c r="A57" s="10" t="inlineStr">
        <is>
          <t>(−) Impuestos</t>
        </is>
      </c>
      <c r="B57" s="16">
        <f>B19</f>
        <v>-93121.0</v>
      </c>
    </row>
    <row r="58">
      <c r="A58" s="26" t="inlineStr">
        <is>
          <t>CAJA OPERATIVA APROXIMADA</t>
        </is>
      </c>
      <c r="B58" s="27">
        <f>SUM(B54:B57)</f>
        <v>-60555.0</v>
      </c>
      <c r="C58" s="28" t="n"/>
      <c r="D58" s="28" t="n"/>
      <c r="E58" s="28" t="n"/>
    </row>
    <row r="59">
      <c r="A59" s="10" t="inlineStr">
        <is>
          <t>Resultado neto contable</t>
        </is>
      </c>
      <c r="B59" s="16">
        <f>B20</f>
        <v>279364.0</v>
      </c>
    </row>
    <row r="60" ht="24" customHeight="1">
      <c r="A60" s="26" t="inlineStr">
        <is>
          <t>BRECHA entre beneficio y caja</t>
        </is>
      </c>
      <c r="B60" s="27">
        <f>B20-B58</f>
        <v>339919.0</v>
      </c>
      <c r="C60" s="28" t="n"/>
      <c r="D60" s="28" t="n"/>
      <c r="E60" s="29" t="inlineStr">
        <is>
          <t>El beneficio está en el almacén, no en el banco. Este es el argumento central frente a la petición de dividendo.</t>
        </is>
      </c>
    </row>
    <row r="61" ht="36" customHeight="1">
      <c r="A61" s="10" t="inlineStr">
        <is>
          <t>Aviso: no hay balance en el caso.</t>
        </is>
      </c>
      <c r="E61" s="13" t="inlineStr">
        <is>
          <t>Se ignoran clientes y proveedores, así que es una aproximación y hay que declararlo así en el informe. El acopio de madera puede ser puntual. La dirección del argumento se mantiene.</t>
        </is>
      </c>
    </row>
    <row r="63">
      <c r="A63" s="3" t="inlineStr">
        <is>
          <t>CÁLCULO 5 — ENDEUDAMIENTO IMPLÍCITO</t>
        </is>
      </c>
      <c r="B63" s="4" t="n"/>
      <c r="C63" s="4" t="n"/>
      <c r="D63" s="4" t="n"/>
      <c r="E63" s="4" t="n"/>
    </row>
    <row r="64" ht="24" customHeight="1">
      <c r="A64" s="10" t="inlineStr">
        <is>
          <t>¿PARA QUÉ? El caso no da balance, pero se puede reconstruir.</t>
        </is>
      </c>
      <c r="E64" s="13" t="inlineStr">
        <is>
          <t>Los gastos financieros divididos por el tipo del banco dan la deuda aproximada. Sirve para saber si la empresa puede asumir más.</t>
        </is>
      </c>
    </row>
    <row r="65">
      <c r="A65" s="10" t="inlineStr">
        <is>
          <t>Tipo de interés del banco</t>
        </is>
      </c>
      <c r="B65" s="30" t="n">
        <v>0.075</v>
      </c>
    </row>
    <row r="66">
      <c r="A66" s="10" t="inlineStr">
        <is>
          <t>Deuda implícita</t>
        </is>
      </c>
      <c r="B66" s="22">
        <f>-B17/B65</f>
        <v>587280.0</v>
      </c>
    </row>
    <row r="67" ht="15" customHeight="1">
      <c r="A67" s="17" t="inlineStr">
        <is>
          <t>Deuda / EBITDA — HOY</t>
        </is>
      </c>
      <c r="B67" s="31">
        <f>B66/B14</f>
        <v>1.2973574802175516</v>
      </c>
      <c r="C67" s="19" t="n"/>
      <c r="D67" s="19" t="n"/>
      <c r="E67" s="20" t="inlineStr">
        <is>
          <t>Por debajo de 2x. La empresa está cómoda y el banco le presta sin problema.</t>
        </is>
      </c>
    </row>
    <row r="68">
      <c r="A68" s="10" t="inlineStr">
        <is>
          <t>Cobertura de intereses (EBITDA / gastos fin.)</t>
        </is>
      </c>
      <c r="B68" s="25">
        <f>B14/-B17</f>
        <v>10.277301003496344</v>
      </c>
    </row>
    <row r="69" ht="24" customHeight="1">
      <c r="A69" s="10" t="inlineStr">
        <is>
          <t>Deuda estimada TRAS firmar Persán</t>
        </is>
      </c>
      <c r="B69" s="16">
        <f>B66+190000+454356</f>
        <v>1231636.0</v>
      </c>
      <c r="E69" s="13" t="inlineStr">
        <is>
          <t>Añade 190.000 € de leasing (robot + tráiler) y 454.356 € de circulante por el cobro a 180 días.</t>
        </is>
      </c>
    </row>
    <row r="70" ht="24" customHeight="1">
      <c r="A70" s="10" t="inlineStr">
        <is>
          <t>EBITDA estimado tras Persán</t>
        </is>
      </c>
      <c r="B70" s="16">
        <f>B14-154800</f>
        <v>297874.0</v>
      </c>
      <c r="E70" s="13" t="inlineStr">
        <is>
          <t>Margen de contribución negativo (−46.800) + campa (60.000) + leasing (48.000).</t>
        </is>
      </c>
    </row>
    <row r="71" ht="24" customHeight="1">
      <c r="A71" s="26" t="inlineStr">
        <is>
          <t>Deuda / EBITDA — TRAS PERSÁN</t>
        </is>
      </c>
      <c r="B71" s="32">
        <f>B69/B70</f>
        <v>4.13475496350806</v>
      </c>
      <c r="C71" s="28" t="n"/>
      <c r="D71" s="28" t="n"/>
      <c r="E71" s="29" t="inlineStr">
        <is>
          <t>Por encima de 4x es la zona donde el banco empieza a poner condiciones. Y ocurre justo cuando los fundadores quieren retirar capital.</t>
        </is>
      </c>
    </row>
    <row r="73">
      <c r="A73" s="3" t="inlineStr">
        <is>
          <t>CÁLCULO 6 — COSTE REAL DEL TRANSPORTE (inferencia propia)</t>
        </is>
      </c>
      <c r="B73" s="4" t="n"/>
      <c r="C73" s="4" t="n"/>
      <c r="D73" s="4" t="n"/>
      <c r="E73" s="4" t="n"/>
    </row>
    <row r="74" ht="36" customHeight="1">
      <c r="A74" s="10" t="inlineStr">
        <is>
          <t>¿PARA QUÉ? Comprobar si el Anexo 3 es optimista.</t>
        </is>
      </c>
      <c r="E74" s="13" t="inlineStr">
        <is>
          <t>El contrato exige DOS camiones de retén permanente en nave. Conviene comprobar si el coste de transporte que el escandallo asigna a Persán es coherente con lo que cuestan los camiones actuales.</t>
        </is>
      </c>
    </row>
    <row r="75">
      <c r="A75" s="10" t="inlineStr">
        <is>
          <t>Coste total de transporte 2025</t>
        </is>
      </c>
      <c r="B75" s="16">
        <f>-B11</f>
        <v>268218.0</v>
      </c>
    </row>
    <row r="76">
      <c r="A76" s="10" t="inlineStr">
        <is>
          <t>Número de camiones actuales</t>
        </is>
      </c>
      <c r="B76" s="33" t="n">
        <v>2</v>
      </c>
    </row>
    <row r="77">
      <c r="A77" s="6" t="inlineStr">
        <is>
          <t>COSTE POR CAMIÓN Y AÑO</t>
        </is>
      </c>
      <c r="B77" s="14">
        <f>B75/B76</f>
        <v>134109.0</v>
      </c>
      <c r="C77" s="9" t="n"/>
      <c r="D77" s="9" t="n"/>
      <c r="E77" s="9" t="n"/>
    </row>
    <row r="78" ht="15" customHeight="1">
      <c r="A78" s="10" t="inlineStr">
        <is>
          <t>Transporte asignado a Persán en el Anexo 3</t>
        </is>
      </c>
      <c r="B78" s="16">
        <f>0.53*90000</f>
        <v>47700.0</v>
      </c>
      <c r="E78" s="13" t="inlineStr">
        <is>
          <t>0,53 €/palet × 90.000 unidades.</t>
        </is>
      </c>
    </row>
    <row r="79" ht="36" customHeight="1">
      <c r="A79" s="26" t="inlineStr">
        <is>
          <t>DIFERENCIA si el 3er camión se dedica a Persán</t>
        </is>
      </c>
      <c r="B79" s="27">
        <f>B77-B78</f>
        <v>86409.0</v>
      </c>
      <c r="C79" s="28" t="n"/>
      <c r="D79" s="28" t="n"/>
      <c r="E79" s="29" t="inlineStr">
        <is>
          <t>INFERENCIA PROPIA, no dato del caso: hay que presentarla como tal. Apunta a que el escandallo del Anexo 3 es optimista y que el contrato es aún peor de lo que ya parece.</t>
        </is>
      </c>
    </row>
    <row r="82">
      <c r="A82" s="3" t="inlineStr">
        <is>
          <t>LO QUE DICE LA CUENTA DE RESULTADOS</t>
        </is>
      </c>
      <c r="B82" s="4" t="n"/>
      <c r="C82" s="4" t="n"/>
      <c r="D82" s="4" t="n"/>
      <c r="E82" s="4" t="n"/>
    </row>
    <row r="83" ht="32" customHeight="1">
      <c r="A83" s="10" t="inlineStr">
        <is>
          <t>•</t>
        </is>
      </c>
      <c r="B83" s="34" t="inlineStr">
        <is>
          <t>La empresa está sana pero es más frágil de lo que parece: 9,9% de EBITDA y un margen de seguridad del 30%, pero el 72,8% de la facturación se va en costes variables.</t>
        </is>
      </c>
    </row>
    <row r="84" ht="32" customHeight="1">
      <c r="A84" s="10" t="inlineStr">
        <is>
          <t>•</t>
        </is>
      </c>
      <c r="B84" s="34" t="inlineStr">
        <is>
          <t>La madera sola es el 58,7% de las ventas. En lo económico, Alcopalet es una transformadora de madera con margen estrecho sobre una materia prima que no controla.</t>
        </is>
      </c>
    </row>
    <row r="85" ht="32" customHeight="1">
      <c r="A85" s="10" t="inlineStr">
        <is>
          <t>•</t>
        </is>
      </c>
      <c r="B85" s="34" t="inlineStr">
        <is>
          <t>Con esa estructura el precio de venta no es una variable comercial: es LA variable. Vender a 10 € un palet cuyo coste variable es 10,52 € no es un descuento agresivo.</t>
        </is>
      </c>
    </row>
    <row r="86" ht="32" customHeight="1">
      <c r="A86" s="10" t="inlineStr">
        <is>
          <t>•</t>
        </is>
      </c>
      <c r="B86" s="34" t="inlineStr">
        <is>
          <t>El apalancamiento de 2,75x amplifica el error. Persán añade 108.000 € de costes fijos (un 13,6% más) sin aportar contribución alguna.</t>
        </is>
      </c>
    </row>
    <row r="87" ht="45" customHeight="1">
      <c r="A87" s="10" t="inlineStr">
        <is>
          <t>•</t>
        </is>
      </c>
      <c r="B87" s="34" t="inlineStr">
        <is>
          <t>Y la caja dice que no hay margen para equivocarse: el debate del comité está mal planteado. No es «invertir o repartir», es que ahora mismo no hay caja para ninguna de las dos cosas, porque el beneficio está inmovilizado en existencias.</t>
        </is>
      </c>
    </row>
  </sheetData>
  <mergeCells count="5">
    <mergeCell ref="B83:E83"/>
    <mergeCell ref="B86:E86"/>
    <mergeCell ref="B87:E87"/>
    <mergeCell ref="B85:E85"/>
    <mergeCell ref="B84:E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2026-08-13T12:16:57Z</dcterms:created>
  <dcterms:modified xsi:type="dcterms:W3CDTF">2026-08-13T12:16:57Z</dcterms:modified>
</cp:coreProperties>
</file>