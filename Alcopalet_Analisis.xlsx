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ÁLCULOS" sheetId="2" state="visible" r:id="rId2"/>
    <sheet name="ANEX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 &quot;€&quot;;(#,##0.00) &quot;€&quot;;&quot;-&quot;"/>
    <numFmt numFmtId="165" formatCode="#,##0 &quot;€&quot;;(#,##0) &quot;€&quot;;&quot;-&quot;"/>
    <numFmt numFmtId="166" formatCode="0.0%;(0.0%);&quot;-&quot;"/>
    <numFmt numFmtId="167" formatCode="#,##0;(#,##0);&quot;-&quot;"/>
    <numFmt numFmtId="168" formatCode="#,##0.00;(#,##0.00);&quot;-&quot;"/>
  </numFmts>
  <fonts count="12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C00000"/>
      <sz val="14"/>
    </font>
    <font>
      <name val="Arial"/>
      <color rgb="00404040"/>
      <sz val="9"/>
    </font>
    <font>
      <name val="Arial"/>
      <b val="1"/>
      <color rgb="00006100"/>
      <sz val="14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0" applyAlignment="1" pivotButton="0" quotePrefix="0" xfId="0">
      <alignment vertical="top" wrapText="1"/>
    </xf>
    <xf numFmtId="0" fontId="0" fillId="3" borderId="0" pivotButton="0" quotePrefix="0" xfId="0"/>
    <xf numFmtId="0" fontId="4" fillId="4" borderId="0" applyAlignment="1" pivotButton="0" quotePrefix="0" xfId="0">
      <alignment vertical="top" wrapText="1"/>
    </xf>
    <xf numFmtId="0" fontId="0" fillId="4" borderId="0" pivotButton="0" quotePrefix="0" xfId="0"/>
    <xf numFmtId="0" fontId="4" fillId="5" borderId="0" applyAlignment="1" pivotButton="0" quotePrefix="0" xfId="0">
      <alignment vertical="top" wrapText="1"/>
    </xf>
    <xf numFmtId="0" fontId="0" fillId="5" borderId="0" pivotButton="0" quotePrefix="0" xfId="0"/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4" borderId="0" pivotButton="0" quotePrefix="0" xfId="0"/>
    <xf numFmtId="164" fontId="6" fillId="4" borderId="0" applyAlignment="1" pivotButton="0" quotePrefix="0" xfId="0">
      <alignment horizontal="center"/>
    </xf>
    <xf numFmtId="0" fontId="7" fillId="4" borderId="0" applyAlignment="1" pivotButton="0" quotePrefix="0" xfId="0">
      <alignment vertical="center" wrapText="1"/>
    </xf>
    <xf numFmtId="0" fontId="4" fillId="5" borderId="0" pivotButton="0" quotePrefix="0" xfId="0"/>
    <xf numFmtId="164" fontId="6" fillId="5" borderId="0" applyAlignment="1" pivotButton="0" quotePrefix="0" xfId="0">
      <alignment horizontal="center"/>
    </xf>
    <xf numFmtId="0" fontId="7" fillId="5" borderId="0" applyAlignment="1" pivotButton="0" quotePrefix="0" xfId="0">
      <alignment vertical="center" wrapText="1"/>
    </xf>
    <xf numFmtId="165" fontId="6" fillId="4" borderId="0" applyAlignment="1" pivotButton="0" quotePrefix="0" xfId="0">
      <alignment horizontal="center"/>
    </xf>
    <xf numFmtId="166" fontId="6" fillId="5" borderId="0" applyAlignment="1" pivotButton="0" quotePrefix="0" xfId="0">
      <alignment horizontal="center"/>
    </xf>
    <xf numFmtId="0" fontId="4" fillId="3" borderId="0" pivotButton="0" quotePrefix="0" xfId="0"/>
    <xf numFmtId="165" fontId="8" fillId="3" borderId="0" applyAlignment="1" pivotButton="0" quotePrefix="0" xfId="0">
      <alignment horizontal="center"/>
    </xf>
    <xf numFmtId="0" fontId="7" fillId="3" borderId="0" applyAlignment="1" pivotButton="0" quotePrefix="0" xfId="0">
      <alignment vertical="center" wrapText="1"/>
    </xf>
    <xf numFmtId="0" fontId="9" fillId="0" borderId="0" pivotButton="0" quotePrefix="0" xfId="0"/>
    <xf numFmtId="164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center" wrapText="1"/>
    </xf>
    <xf numFmtId="164" fontId="4" fillId="5" borderId="0" applyAlignment="1" pivotButton="0" quotePrefix="0" xfId="0">
      <alignment horizontal="center"/>
    </xf>
    <xf numFmtId="167" fontId="4" fillId="0" borderId="0" applyAlignment="1" pivotButton="0" quotePrefix="0" xfId="0">
      <alignment horizontal="center"/>
    </xf>
    <xf numFmtId="167" fontId="4" fillId="5" borderId="0" applyAlignment="1" pivotButton="0" quotePrefix="0" xfId="0">
      <alignment horizontal="center"/>
    </xf>
    <xf numFmtId="165" fontId="4" fillId="4" borderId="0" applyAlignment="1" pivotButton="0" quotePrefix="0" xfId="0">
      <alignment horizontal="center"/>
    </xf>
    <xf numFmtId="165" fontId="4" fillId="5" borderId="0" applyAlignment="1" pivotButton="0" quotePrefix="0" xfId="0">
      <alignment horizontal="center"/>
    </xf>
    <xf numFmtId="0" fontId="9" fillId="0" borderId="0" applyAlignment="1" pivotButton="0" quotePrefix="0" xfId="0">
      <alignment vertical="top" wrapText="1"/>
    </xf>
    <xf numFmtId="0" fontId="4" fillId="7" borderId="0" pivotButton="0" quotePrefix="0" xfId="0"/>
    <xf numFmtId="167" fontId="4" fillId="7" borderId="0" applyAlignment="1" pivotButton="0" quotePrefix="0" xfId="0">
      <alignment horizontal="center"/>
    </xf>
    <xf numFmtId="0" fontId="0" fillId="7" borderId="0" pivotButton="0" quotePrefix="0" xfId="0"/>
    <xf numFmtId="0" fontId="7" fillId="7" borderId="0" applyAlignment="1" pivotButton="0" quotePrefix="0" xfId="0">
      <alignment vertical="center" wrapText="1"/>
    </xf>
    <xf numFmtId="167" fontId="10" fillId="0" borderId="0" applyAlignment="1" pivotButton="0" quotePrefix="0" xfId="0">
      <alignment horizontal="center"/>
    </xf>
    <xf numFmtId="165" fontId="10" fillId="0" borderId="0" applyAlignment="1" pivotButton="0" quotePrefix="0" xfId="0">
      <alignment horizontal="center"/>
    </xf>
    <xf numFmtId="166" fontId="10" fillId="0" borderId="0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165" fontId="9" fillId="0" borderId="0" applyAlignment="1" pivotButton="0" quotePrefix="0" xfId="0">
      <alignment horizontal="center"/>
    </xf>
    <xf numFmtId="0" fontId="11" fillId="2" borderId="0" applyAlignment="1" pivotButton="0" quotePrefix="0" xfId="0">
      <alignment horizontal="right"/>
    </xf>
    <xf numFmtId="0" fontId="9" fillId="8" borderId="0" applyAlignment="1" pivotButton="0" quotePrefix="0" xfId="0">
      <alignment vertical="top" wrapText="1"/>
    </xf>
    <xf numFmtId="0" fontId="0" fillId="8" borderId="0" pivotButton="0" quotePrefix="0" xfId="0"/>
    <xf numFmtId="164" fontId="4" fillId="7" borderId="0" applyAlignment="1" pivotButton="0" quotePrefix="0" xfId="0">
      <alignment horizontal="center"/>
    </xf>
    <xf numFmtId="164" fontId="4" fillId="4" borderId="0" applyAlignment="1" pivotButton="0" quotePrefix="0" xfId="0">
      <alignment horizontal="center"/>
    </xf>
    <xf numFmtId="166" fontId="9" fillId="0" borderId="0" applyAlignment="1" pivotButton="0" quotePrefix="0" xfId="0">
      <alignment horizontal="center"/>
    </xf>
    <xf numFmtId="165" fontId="4" fillId="7" borderId="0" applyAlignment="1" pivotButton="0" quotePrefix="0" xfId="0">
      <alignment horizontal="center"/>
    </xf>
    <xf numFmtId="166" fontId="4" fillId="7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166" fontId="4" fillId="3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center"/>
    </xf>
    <xf numFmtId="167" fontId="9" fillId="0" borderId="0" applyAlignment="1" pivotButton="0" quotePrefix="0" xfId="0">
      <alignment horizontal="center"/>
    </xf>
    <xf numFmtId="0" fontId="4" fillId="9" borderId="0" pivotButton="0" quotePrefix="0" xfId="0"/>
    <xf numFmtId="167" fontId="4" fillId="9" borderId="0" applyAlignment="1" pivotButton="0" quotePrefix="0" xfId="0">
      <alignment horizontal="center"/>
    </xf>
    <xf numFmtId="0" fontId="0" fillId="9" borderId="0" pivotButton="0" quotePrefix="0" xfId="0"/>
    <xf numFmtId="0" fontId="7" fillId="9" borderId="0" applyAlignment="1" pivotButton="0" quotePrefix="0" xfId="0">
      <alignment vertical="center" wrapText="1"/>
    </xf>
    <xf numFmtId="166" fontId="4" fillId="4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0" fontId="9" fillId="4" borderId="0" pivotButton="0" quotePrefix="0" xfId="0"/>
    <xf numFmtId="164" fontId="9" fillId="4" borderId="0" applyAlignment="1" pivotButton="0" quotePrefix="0" xfId="0">
      <alignment horizontal="center"/>
    </xf>
    <xf numFmtId="167" fontId="9" fillId="4" borderId="0" applyAlignment="1" pivotButton="0" quotePrefix="0" xfId="0">
      <alignment horizontal="center"/>
    </xf>
    <xf numFmtId="0" fontId="9" fillId="5" borderId="0" pivotButton="0" quotePrefix="0" xfId="0"/>
    <xf numFmtId="164" fontId="9" fillId="5" borderId="0" applyAlignment="1" pivotButton="0" quotePrefix="0" xfId="0">
      <alignment horizontal="center"/>
    </xf>
    <xf numFmtId="167" fontId="9" fillId="5" borderId="0" applyAlignment="1" pivotButton="0" quotePrefix="0" xfId="0">
      <alignment horizontal="center"/>
    </xf>
    <xf numFmtId="0" fontId="9" fillId="3" borderId="0" pivotButton="0" quotePrefix="0" xfId="0"/>
    <xf numFmtId="164" fontId="9" fillId="3" borderId="0" applyAlignment="1" pivotButton="0" quotePrefix="0" xfId="0">
      <alignment horizontal="center"/>
    </xf>
    <xf numFmtId="167" fontId="9" fillId="3" borderId="0" applyAlignment="1" pivotButton="0" quotePrefix="0" xfId="0">
      <alignment horizontal="center"/>
    </xf>
    <xf numFmtId="168" fontId="9" fillId="0" borderId="0" applyAlignment="1" pivotButton="0" quotePrefix="0" xfId="0">
      <alignment horizontal="center"/>
    </xf>
    <xf numFmtId="168" fontId="4" fillId="5" borderId="0" applyAlignment="1" pivotButton="0" quotePrefix="0" xfId="0">
      <alignment horizontal="center"/>
    </xf>
    <xf numFmtId="165" fontId="4" fillId="9" borderId="0" applyAlignment="1" pivotButton="0" quotePrefix="0" xfId="0">
      <alignment horizontal="center"/>
    </xf>
    <xf numFmtId="168" fontId="4" fillId="3" borderId="0" applyAlignment="1" pivotButton="0" quotePrefix="0" xfId="0">
      <alignment horizontal="center"/>
    </xf>
    <xf numFmtId="165" fontId="9" fillId="4" borderId="0" applyAlignment="1" pivotButton="0" quotePrefix="0" xfId="0">
      <alignment horizontal="center"/>
    </xf>
    <xf numFmtId="165" fontId="9" fillId="5" borderId="0" applyAlignment="1" pivotButton="0" quotePrefix="0" xfId="0">
      <alignment horizontal="center"/>
    </xf>
    <xf numFmtId="165" fontId="9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5" customWidth="1" min="2" max="2"/>
    <col width="14" customWidth="1" min="3" max="3"/>
    <col width="14" customWidth="1" min="4" max="4"/>
    <col width="46" customWidth="1" min="5" max="5"/>
  </cols>
  <sheetData>
    <row r="1">
      <c r="A1" s="1" t="inlineStr">
        <is>
          <t>ALCOPALET — La decisión</t>
        </is>
      </c>
    </row>
    <row r="2" ht="16.5" customHeight="1">
      <c r="A2" s="2" t="inlineStr">
        <is>
          <t>Caso DTI-1399 · Lydes 2026 · Azul = dato del caso · Negro = calculado · Amarillo = hipótesis propia</t>
        </is>
      </c>
    </row>
    <row r="4">
      <c r="A4" s="3" t="inlineStr">
        <is>
          <t>QUÉ HACER</t>
        </is>
      </c>
      <c r="B4" s="4" t="n"/>
      <c r="C4" s="4" t="n"/>
      <c r="D4" s="4" t="n"/>
      <c r="E4" s="4" t="n"/>
    </row>
    <row r="5" ht="31" customHeight="1">
      <c r="A5" s="5" t="inlineStr">
        <is>
          <t>1.  COMPRAR LA MÁQUINA HOY, PERO SIN EL TRÁILER.  El fabricante pide respuesta hoy; los 150.000 € del camión solo hacen falta si se firma Persán. Financiar solo los 40.000 € baja el leasing de 48.000 € a 9.618 € al año.</t>
        </is>
      </c>
      <c r="B5" s="6" t="n"/>
      <c r="C5" s="6" t="n"/>
      <c r="D5" s="6" t="n"/>
      <c r="E5" s="6" t="n"/>
    </row>
    <row r="6" ht="31" customHeight="1">
      <c r="A6" s="7" t="inlineStr">
        <is>
          <t>2.  NO FIRMAR PERSÁN A 10 €.  El contrato todavía es un borrador: no hay que decidirlo hoy. A ese precio pierde dinero en cada palet, y el daño a cinco años es de 944.000 €.</t>
        </is>
      </c>
      <c r="B6" s="8" t="n"/>
      <c r="C6" s="8" t="n"/>
      <c r="D6" s="8" t="n"/>
      <c r="E6" s="8" t="n"/>
    </row>
    <row r="7" ht="31" customHeight="1">
      <c r="A7" s="9" t="inlineStr">
        <is>
          <t>3.  VOLVER A NEGOCIAR CON TRES PALANCAS: precio, especificación de la madera y plazo de cobro. Con las tres, el contrato pasa de −188.877 € a +117.964 € al año.</t>
        </is>
      </c>
      <c r="B7" s="10" t="n"/>
      <c r="C7" s="10" t="n"/>
      <c r="D7" s="10" t="n"/>
      <c r="E7" s="10" t="n"/>
    </row>
    <row r="9">
      <c r="A9" s="3" t="inlineStr">
        <is>
          <t>LOS OCHO NÚMEROS QUE LO SOSTIENEN</t>
        </is>
      </c>
      <c r="B9" s="4" t="n"/>
      <c r="C9" s="4" t="n"/>
      <c r="D9" s="4" t="n"/>
      <c r="E9" s="4" t="n"/>
    </row>
    <row r="10" ht="24" customHeight="1">
      <c r="A10" s="11" t="inlineStr">
        <is>
          <t>Número</t>
        </is>
      </c>
      <c r="B10" s="12" t="inlineStr">
        <is>
          <t>Valor</t>
        </is>
      </c>
      <c r="C10" s="12" t="inlineStr"/>
      <c r="D10" s="12" t="inlineStr"/>
      <c r="E10" s="12" t="inlineStr">
        <is>
          <t>Qué significa</t>
        </is>
      </c>
    </row>
    <row r="11">
      <c r="A11" s="13" t="inlineStr">
        <is>
          <t>Margen de contribución de Persán</t>
        </is>
      </c>
      <c r="B11" s="14" t="n">
        <v>-0.52</v>
      </c>
      <c r="C11" s="8" t="n"/>
      <c r="D11" s="8" t="n"/>
      <c r="E11" s="15" t="inlineStr">
        <is>
          <t>€ por palet. NEGATIVO: no cubre ni lo que consume fabricarlo. Ningún volumen lo arregla, y ninguna máquina tampoco.</t>
        </is>
      </c>
    </row>
    <row r="12">
      <c r="A12" s="13" t="inlineStr">
        <is>
          <t>Margen sin contar la mano de obra</t>
        </is>
      </c>
      <c r="B12" s="14" t="n">
        <v>-0.1</v>
      </c>
      <c r="C12" s="8" t="n"/>
      <c r="D12" s="8" t="n"/>
      <c r="E12" s="15" t="inlineStr">
        <is>
          <t>EL ARGUMENTO DEFINITIVO: aunque el operario fuese gratis, seguiría perdiendo. 8,27 + 0,53 + 1,30 = 10,10 € frente a un precio de 10 €.</t>
        </is>
      </c>
    </row>
    <row r="13">
      <c r="A13" s="16" t="inlineStr">
        <is>
          <t>Precio de equilibrio</t>
        </is>
      </c>
      <c r="B13" s="17" t="n">
        <v>12.17</v>
      </c>
      <c r="C13" s="10" t="n"/>
      <c r="D13" s="10" t="n"/>
      <c r="E13" s="18" t="inlineStr">
        <is>
          <t>€ por palet. Por debajo de aquí el contrato destruye valor, con máquina o sin ella.</t>
        </is>
      </c>
    </row>
    <row r="14">
      <c r="A14" s="13" t="inlineStr">
        <is>
          <t>Impacto anual del contrato</t>
        </is>
      </c>
      <c r="B14" s="19" t="n">
        <v>-188877</v>
      </c>
      <c r="C14" s="8" t="n"/>
      <c r="D14" s="8" t="n"/>
      <c r="E14" s="15" t="inlineStr">
        <is>
          <t>Margen negativo + campa + leasing + coste del cobro a 180 días. Equivale al 68% del beneficio de toda la empresa.</t>
        </is>
      </c>
    </row>
    <row r="15">
      <c r="A15" s="16" t="inlineStr">
        <is>
          <t>Utilización actual de la fábrica</t>
        </is>
      </c>
      <c r="B15" s="20" t="n">
        <v>0.8100000000000001</v>
      </c>
      <c r="C15" s="10" t="n"/>
      <c r="D15" s="10" t="n"/>
      <c r="E15" s="18" t="inlineStr">
        <is>
          <t>La fábrica NO está llena: sobran 40.876 palets al año. El «no llegamos» de Esteban no se sostiene. La máquina se compra por flexibilidad, no por capacidad.</t>
        </is>
      </c>
    </row>
    <row r="16">
      <c r="A16" s="13" t="inlineStr">
        <is>
          <t>Caja operativa real de 2025</t>
        </is>
      </c>
      <c r="B16" s="19" t="n">
        <v>-60555</v>
      </c>
      <c r="C16" s="8" t="n"/>
      <c r="D16" s="8" t="n"/>
      <c r="E16" s="15" t="inlineStr">
        <is>
          <t>Frente a 279.364 € de beneficio contable. El beneficio está en el almacén, no en el banco: no hay caja ni para invertir ni para el dividendo.</t>
        </is>
      </c>
    </row>
    <row r="17">
      <c r="A17" s="13" t="inlineStr">
        <is>
          <t>Caja que exige Persán el primer año</t>
        </is>
      </c>
      <c r="B17" s="19" t="n">
        <v>-643232</v>
      </c>
      <c r="C17" s="8" t="n"/>
      <c r="D17" s="8" t="n"/>
      <c r="E17" s="15" t="inlineStr">
        <is>
          <t>Circulante del cobro a 180 días + campa + leasing + margen negativo.</t>
        </is>
      </c>
    </row>
    <row r="18">
      <c r="A18" s="21" t="inlineStr">
        <is>
          <t>Contrato renegociado con las tres palancas</t>
        </is>
      </c>
      <c r="B18" s="22" t="n">
        <v>117964</v>
      </c>
      <c r="C18" s="6" t="n"/>
      <c r="D18" s="6" t="n"/>
      <c r="E18" s="23" t="inlineStr">
        <is>
          <t>12,50 € de precio, madera re-especificada a 7,50 € y cobro a 90 días.</t>
        </is>
      </c>
    </row>
    <row r="20">
      <c r="A20" s="3" t="inlineStr">
        <is>
          <t>EL CONTRATO IDEAL</t>
        </is>
      </c>
      <c r="B20" s="4" t="n"/>
      <c r="C20" s="4" t="n"/>
      <c r="D20" s="4" t="n"/>
      <c r="E20" s="4" t="n"/>
    </row>
    <row r="21" ht="24" customHeight="1">
      <c r="A21" s="11" t="inlineStr">
        <is>
          <t>Variable</t>
        </is>
      </c>
      <c r="B21" s="12" t="inlineStr">
        <is>
          <t>Hoy</t>
        </is>
      </c>
      <c r="C21" s="12" t="inlineStr">
        <is>
          <t>Mínimo</t>
        </is>
      </c>
      <c r="D21" s="12" t="inlineStr">
        <is>
          <t>Objetivo</t>
        </is>
      </c>
      <c r="E21" s="12" t="inlineStr">
        <is>
          <t>Por qué</t>
        </is>
      </c>
    </row>
    <row r="22">
      <c r="A22" s="24" t="inlineStr">
        <is>
          <t>Precio por palet</t>
        </is>
      </c>
      <c r="B22" s="25" t="n">
        <v>10</v>
      </c>
      <c r="C22" s="25" t="n">
        <v>12.17</v>
      </c>
      <c r="D22" s="25" t="n">
        <v>12.5</v>
      </c>
      <c r="E22" s="26" t="inlineStr">
        <is>
          <t>El mínimo es el equilibrio exacto. Es la palanca más difícil: Persán lleva meses negociando este precio.</t>
        </is>
      </c>
    </row>
    <row r="23">
      <c r="A23" s="16" t="inlineStr">
        <is>
          <t>Coste de la madera</t>
        </is>
      </c>
      <c r="B23" s="27" t="n">
        <v>8.27</v>
      </c>
      <c r="C23" s="27" t="n">
        <v>8</v>
      </c>
      <c r="D23" s="27" t="n">
        <v>7.5</v>
      </c>
      <c r="E23" s="18" t="inlineStr">
        <is>
          <t>LA QUE NADIE MIRA. Los 8,27 € son el estándar Tetra Pak (madera gallega premium, seca, blanca, lijada), nacido de un incidente de moho en una aduana china. Persán fabrica detergentes en Sevilla: casi con seguridad no necesita esa calidad.</t>
        </is>
      </c>
    </row>
    <row r="24">
      <c r="A24" s="24" t="inlineStr">
        <is>
          <t>Plazo de cobro (días)</t>
        </is>
      </c>
      <c r="B24" s="28" t="n">
        <v>180</v>
      </c>
      <c r="C24" s="28" t="n">
        <v>120</v>
      </c>
      <c r="D24" s="28" t="n">
        <v>90</v>
      </c>
      <c r="E24" s="26" t="inlineStr">
        <is>
          <t>La más fácil de conseguir. Reduce a la mitad el circulante inmovilizado.</t>
        </is>
      </c>
    </row>
    <row r="25">
      <c r="A25" s="16" t="inlineStr">
        <is>
          <t>Revisión anual del precio de la madera</t>
        </is>
      </c>
      <c r="B25" s="29" t="inlineStr">
        <is>
          <t>NO</t>
        </is>
      </c>
      <c r="C25" s="29" t="inlineStr">
        <is>
          <t>SÍ</t>
        </is>
      </c>
      <c r="D25" s="29" t="inlineStr">
        <is>
          <t>SÍ</t>
        </is>
      </c>
      <c r="E25" s="18" t="inlineStr">
        <is>
          <t>INNEGOCIABLE. La madera es el 83% del precio de venta y el contrato dura 5 años.</t>
        </is>
      </c>
    </row>
    <row r="27" ht="24" customHeight="1">
      <c r="A27" s="11" t="inlineStr">
        <is>
          <t>Lo que se consiga en la negociación</t>
        </is>
      </c>
      <c r="B27" s="12" t="inlineStr">
        <is>
          <t>Impacto anual</t>
        </is>
      </c>
      <c r="C27" s="12" t="inlineStr"/>
      <c r="D27" s="12" t="inlineStr"/>
      <c r="E27" s="12" t="inlineStr">
        <is>
          <t>Lectura</t>
        </is>
      </c>
    </row>
    <row r="28">
      <c r="A28" s="13" t="inlineStr">
        <is>
          <t>Contrato actual (10 € · 8,27 € · 180 días)</t>
        </is>
      </c>
      <c r="B28" s="30" t="n">
        <v>-188877</v>
      </c>
      <c r="C28" s="8" t="n"/>
      <c r="D28" s="8" t="n"/>
      <c r="E28" s="15" t="inlineStr">
        <is>
          <t>Destruye valor</t>
        </is>
      </c>
    </row>
    <row r="29">
      <c r="A29" s="13" t="inlineStr">
        <is>
          <t>Solo el plazo de cobro (10 € · 8,27 € · 90 d)</t>
        </is>
      </c>
      <c r="B29" s="30" t="n">
        <v>-172233</v>
      </c>
      <c r="C29" s="8" t="n"/>
      <c r="D29" s="8" t="n"/>
      <c r="E29" s="15" t="inlineStr">
        <is>
          <t>Sigue perdiendo: ninguna palanca sola basta</t>
        </is>
      </c>
    </row>
    <row r="30">
      <c r="A30" s="13" t="inlineStr">
        <is>
          <t>Solo la madera (10 € · 7,50 € · 180 días)</t>
        </is>
      </c>
      <c r="B30" s="30" t="n">
        <v>-119519</v>
      </c>
      <c r="C30" s="8" t="n"/>
      <c r="D30" s="8" t="n"/>
      <c r="E30" s="15" t="inlineStr">
        <is>
          <t>Tampoco basta</t>
        </is>
      </c>
    </row>
    <row r="31">
      <c r="A31" s="16" t="inlineStr">
        <is>
          <t>Mínimo aceptable (12,17 € · 8,27 € · 180 d)</t>
        </is>
      </c>
      <c r="B31" s="31" t="n">
        <v>-800</v>
      </c>
      <c r="C31" s="10" t="n"/>
      <c r="D31" s="10" t="n"/>
      <c r="E31" s="18" t="inlineStr">
        <is>
          <t>Ni gana ni pierde. No merece la pena por sí solo</t>
        </is>
      </c>
    </row>
    <row r="32">
      <c r="A32" s="21" t="inlineStr">
        <is>
          <t>CONTRATO IDEAL (12,50 € · 7,50 € · 90 días)</t>
        </is>
      </c>
      <c r="B32" s="22" t="n">
        <v>117964</v>
      </c>
      <c r="C32" s="6" t="n"/>
      <c r="D32" s="6" t="n"/>
      <c r="E32" s="23" t="inlineStr">
        <is>
          <t>Las tres juntas. Este es el objetivo de la reunión</t>
        </is>
      </c>
    </row>
    <row r="34">
      <c r="A34" s="3" t="inlineStr">
        <is>
          <t>SI PERSÁN DICE QUE NO</t>
        </is>
      </c>
      <c r="B34" s="4" t="n"/>
      <c r="C34" s="4" t="n"/>
      <c r="D34" s="4" t="n"/>
      <c r="E34" s="4" t="n"/>
    </row>
    <row r="35" ht="31" customHeight="1">
      <c r="A35" s="32" t="inlineStr">
        <is>
          <t>No pasa nada. La capacidad ociosa de 40.876 palets al año sigue ahí y la máquina se justifica igual por flexibilidad. El coste de equivocarse es asimétrico: rechazar cuesta una oportunidad, firmar cuesta 944.383 € en cinco años.</t>
        </is>
      </c>
    </row>
    <row r="36" ht="31" customHeight="1">
      <c r="A36" s="32" t="inlineStr">
        <is>
          <t>Y a los padres: rechazar Persán a 10 € es precisamente lo que protege su jubilación. Si se firma, el beneficio cae a 90.487 € y no habrá dividendo en cinco años.</t>
        </is>
      </c>
    </row>
  </sheetData>
  <mergeCells count="6">
    <mergeCell ref="A35:E35"/>
    <mergeCell ref="A2:E2"/>
    <mergeCell ref="A7:E7"/>
    <mergeCell ref="A5:E5"/>
    <mergeCell ref="A36:E36"/>
    <mergeCell ref="A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5" customWidth="1" min="2" max="2"/>
    <col width="14" customWidth="1" min="3" max="3"/>
    <col width="14" customWidth="1" min="4" max="4"/>
    <col width="46" customWidth="1" min="5" max="5"/>
  </cols>
  <sheetData>
    <row r="1">
      <c r="A1" s="1" t="inlineStr">
        <is>
          <t>Los cálculos, en orden</t>
        </is>
      </c>
    </row>
    <row r="2" ht="16.5" customHeight="1">
      <c r="A2" s="2" t="inlineStr">
        <is>
          <t>Cada bloque responde a una pregunta. Se lee de arriba abajo.</t>
        </is>
      </c>
    </row>
    <row r="4">
      <c r="A4" s="3" t="inlineStr">
        <is>
          <t>LOS DATOS QUE SE USAN</t>
        </is>
      </c>
      <c r="B4" s="4" t="n"/>
      <c r="C4" s="4" t="n"/>
      <c r="D4" s="4" t="n"/>
      <c r="E4" s="4" t="n"/>
    </row>
    <row r="5" ht="24" customHeight="1">
      <c r="A5" s="11" t="inlineStr">
        <is>
          <t>Dato</t>
        </is>
      </c>
      <c r="B5" s="12" t="inlineStr">
        <is>
          <t>Valor</t>
        </is>
      </c>
      <c r="C5" s="12" t="inlineStr"/>
      <c r="D5" s="12" t="inlineStr"/>
      <c r="E5" s="12" t="inlineStr">
        <is>
          <t>De dónde sale</t>
        </is>
      </c>
    </row>
    <row r="6">
      <c r="A6" s="33" t="inlineStr">
        <is>
          <t>Días productivos al año</t>
        </is>
      </c>
      <c r="B6" s="34">
        <f>11*22</f>
        <v>242.0</v>
      </c>
      <c r="C6" s="35" t="n"/>
      <c r="D6" s="35" t="n"/>
      <c r="E6" s="36" t="inlineStr">
        <is>
          <t>NOTA FINAL DEL ANEXO 3: 11 meses × 22 días</t>
        </is>
      </c>
    </row>
    <row r="7">
      <c r="A7" s="24" t="inlineStr">
        <is>
          <t>Horas por jornada</t>
        </is>
      </c>
      <c r="B7" s="37" t="n">
        <v>8</v>
      </c>
      <c r="E7" s="26" t="inlineStr">
        <is>
          <t>Turno único de 7:00 a 15:00</t>
        </is>
      </c>
    </row>
    <row r="8">
      <c r="A8" s="24" t="inlineStr">
        <is>
          <t>Coste de un operario (€/año)</t>
        </is>
      </c>
      <c r="B8" s="38" t="n">
        <v>38000</v>
      </c>
      <c r="E8" s="26" t="inlineStr">
        <is>
          <t>Apartado (d) del caso</t>
        </is>
      </c>
    </row>
    <row r="9">
      <c r="A9" s="24" t="inlineStr">
        <is>
          <t>Tipo de interés del banco</t>
        </is>
      </c>
      <c r="B9" s="39" t="n">
        <v>0.075</v>
      </c>
      <c r="E9" s="26" t="inlineStr">
        <is>
          <t>Apartado (c)</t>
        </is>
      </c>
    </row>
    <row r="10">
      <c r="A10" s="24" t="inlineStr">
        <is>
          <t>Volumen del contrato (palets/año)</t>
        </is>
      </c>
      <c r="B10" s="37" t="n">
        <v>90000</v>
      </c>
      <c r="E10" s="26" t="inlineStr">
        <is>
          <t>Borrador</t>
        </is>
      </c>
    </row>
    <row r="11">
      <c r="A11" s="24" t="inlineStr">
        <is>
          <t>Precio de Persán (€/palet)</t>
        </is>
      </c>
      <c r="B11" s="40" t="n">
        <v>10</v>
      </c>
      <c r="E11" s="26" t="inlineStr">
        <is>
          <t>FIJO durante 5 años, sin cláusula de revisión</t>
        </is>
      </c>
    </row>
    <row r="12">
      <c r="A12" s="24" t="inlineStr">
        <is>
          <t>Plazo de cobro (días)</t>
        </is>
      </c>
      <c r="B12" s="37" t="n">
        <v>180</v>
      </c>
    </row>
    <row r="13">
      <c r="A13" s="24" t="inlineStr">
        <is>
          <t>Retén exigido (palets)</t>
        </is>
      </c>
      <c r="B13" s="37" t="n">
        <v>1000</v>
      </c>
      <c r="E13" s="26" t="inlineStr">
        <is>
          <t>Dos camiones en nave para servir en menos de 24 horas</t>
        </is>
      </c>
    </row>
    <row r="14">
      <c r="A14" s="24" t="inlineStr">
        <is>
          <t>Alquiler de la campa (€/año)</t>
        </is>
      </c>
      <c r="B14" s="41">
        <f>5000*12</f>
        <v>60000.0</v>
      </c>
      <c r="E14" s="26" t="inlineStr">
        <is>
          <t>5.000 €/mes, apartado (a)</t>
        </is>
      </c>
    </row>
    <row r="15">
      <c r="A15" s="24" t="inlineStr">
        <is>
          <t>Leasing máquina + camión (€/año)</t>
        </is>
      </c>
      <c r="B15" s="41">
        <f>4000*12</f>
        <v>48000.0</v>
      </c>
      <c r="E15" s="26" t="inlineStr">
        <is>
          <t>4.000 €/mes, apartado (c). Cubre robot (40.000 €) y tráiler (150.000 €)</t>
        </is>
      </c>
    </row>
    <row r="17">
      <c r="A17" s="3" t="inlineStr">
        <is>
          <t>1. ¿CUÁNTO DEJA CADA PALET?</t>
        </is>
      </c>
      <c r="B17" s="4" t="n"/>
      <c r="C17" s="4" t="n"/>
      <c r="D17" s="4" t="n"/>
      <c r="E17" s="42" t="inlineStr">
        <is>
          <t>→ VA AL INFORME</t>
        </is>
      </c>
    </row>
    <row r="18" ht="18.5" customHeight="1">
      <c r="A18" s="43" t="inlineStr">
        <is>
          <t>Del Anexo 3. La última fila es la que decide: lo que queda tras pagar lo que ese palet consume al fabricarse.</t>
        </is>
      </c>
      <c r="B18" s="44" t="n"/>
      <c r="C18" s="44" t="n"/>
      <c r="D18" s="44" t="n"/>
      <c r="E18" s="44" t="n"/>
    </row>
    <row r="19" ht="24" customHeight="1">
      <c r="A19" s="11" t="inlineStr">
        <is>
          <t>Concepto (€/palet)</t>
        </is>
      </c>
      <c r="B19" s="12" t="inlineStr">
        <is>
          <t>Palet nuevo</t>
        </is>
      </c>
      <c r="C19" s="12" t="inlineStr">
        <is>
          <t>Palet usado</t>
        </is>
      </c>
      <c r="D19" s="12" t="inlineStr">
        <is>
          <t>PERSÁN</t>
        </is>
      </c>
      <c r="E19" s="12" t="inlineStr">
        <is>
          <t>Nota del anexo</t>
        </is>
      </c>
    </row>
    <row r="20">
      <c r="A20" s="24" t="inlineStr">
        <is>
          <t>Ingreso medio</t>
        </is>
      </c>
      <c r="B20" s="40" t="n">
        <v>15.16</v>
      </c>
      <c r="C20" s="40" t="n">
        <v>7.45</v>
      </c>
      <c r="D20" s="40" t="n">
        <v>10</v>
      </c>
      <c r="E20" s="26" t="inlineStr">
        <is>
          <t>Persán paga un 34% menos que el cliente medio de palet nuevo</t>
        </is>
      </c>
    </row>
    <row r="21">
      <c r="A21" s="24" t="inlineStr">
        <is>
          <t>Materia prima</t>
        </is>
      </c>
      <c r="B21" s="40" t="n">
        <v>8.27</v>
      </c>
      <c r="C21" s="40" t="n">
        <v>4.8</v>
      </c>
      <c r="D21" s="40" t="n">
        <v>8.27</v>
      </c>
      <c r="E21" s="26" t="inlineStr">
        <is>
          <t>IDÉNTICA en manual y Persán: el robot no abarata la madera</t>
        </is>
      </c>
    </row>
    <row r="22">
      <c r="A22" s="24" t="inlineStr">
        <is>
          <t>Mano de obra directa</t>
        </is>
      </c>
      <c r="B22" s="40" t="n">
        <v>2.18</v>
      </c>
      <c r="C22" s="40" t="n">
        <v>1.02</v>
      </c>
      <c r="D22" s="40" t="n">
        <v>0.42</v>
      </c>
      <c r="E22" s="26" t="inlineStr">
        <is>
          <t>NOTA 1: 38.000 € ÷ 90.000 ud, con un solo operario dedicado en exclusiva</t>
        </is>
      </c>
    </row>
    <row r="23">
      <c r="A23" s="24" t="inlineStr">
        <is>
          <t>Transporte</t>
        </is>
      </c>
      <c r="B23" s="40" t="n">
        <v>0.62</v>
      </c>
      <c r="C23" s="40" t="n">
        <v>0.62</v>
      </c>
      <c r="D23" s="40" t="n">
        <v>0.53</v>
      </c>
      <c r="E23" s="26" t="inlineStr">
        <is>
          <t>NOTA 2: eficiencia del tráiler propio a plena carga en las rutas de Persán</t>
        </is>
      </c>
    </row>
    <row r="24">
      <c r="A24" s="24" t="inlineStr">
        <is>
          <t>Otros costes variables</t>
        </is>
      </c>
      <c r="B24" s="40" t="n">
        <v>1.3</v>
      </c>
      <c r="C24" s="40" t="n">
        <v>0.58</v>
      </c>
      <c r="D24" s="40" t="n">
        <v>1.3</v>
      </c>
      <c r="E24" s="26" t="inlineStr">
        <is>
          <t>NOTA 3: varían proporcionalmente al volumen de fabricación</t>
        </is>
      </c>
    </row>
    <row r="25">
      <c r="A25" s="33" t="inlineStr">
        <is>
          <t>COSTE TOTAL</t>
        </is>
      </c>
      <c r="B25" s="45">
        <f>SUM(B21:B24)</f>
        <v>12.37</v>
      </c>
      <c r="C25" s="45">
        <f>SUM(C21:C24)</f>
        <v>7.0200000000000005</v>
      </c>
      <c r="D25" s="45">
        <f>SUM(D21:D24)</f>
        <v>10.52</v>
      </c>
      <c r="E25" s="35" t="n"/>
    </row>
    <row r="26">
      <c r="A26" s="13" t="inlineStr">
        <is>
          <t>MARGEN DE CONTRIBUCIÓN</t>
        </is>
      </c>
      <c r="B26" s="46">
        <f>B20-B25</f>
        <v>2.790000000000001</v>
      </c>
      <c r="C26" s="46">
        <f>C20-C25</f>
        <v>0.4299999999999997</v>
      </c>
      <c r="D26" s="46">
        <f>D20-D25</f>
        <v>-0.5199999999999996</v>
      </c>
      <c r="E26" s="15" t="inlineStr">
        <is>
          <t>HALLAZGO: Persán es el único negativo de los tres</t>
        </is>
      </c>
    </row>
    <row r="27">
      <c r="A27" s="24" t="inlineStr">
        <is>
          <t>Peso de la madera sobre el precio</t>
        </is>
      </c>
      <c r="B27" s="47">
        <f>B21/B20</f>
        <v>0.5455145118733509</v>
      </c>
      <c r="C27" s="47">
        <f>C21/C20</f>
        <v>0.6442953020134228</v>
      </c>
      <c r="D27" s="47">
        <f>D21/D20</f>
        <v>0.827</v>
      </c>
      <c r="E27" s="26" t="inlineStr">
        <is>
          <t>El 83% del precio de Persán es madera, y el contrato no la revisa en 5 años</t>
        </is>
      </c>
    </row>
    <row r="28">
      <c r="A28" s="13" t="inlineStr">
        <is>
          <t>MARGEN SI LA MANO DE OBRA FUESE GRATIS</t>
        </is>
      </c>
      <c r="B28" s="46">
        <f>B20-B21-B23-B24</f>
        <v>4.970000000000001</v>
      </c>
      <c r="C28" s="46">
        <f>C20-C21-C23-C24</f>
        <v>1.4500000000000002</v>
      </c>
      <c r="D28" s="46">
        <f>D20-D21-D23-D24</f>
        <v>-0.09999999999999964</v>
      </c>
      <c r="E28" s="15" t="inlineStr">
        <is>
          <t>Sigue siendo negativo: el problema no es la productividad, es el precio</t>
        </is>
      </c>
    </row>
    <row r="30">
      <c r="A30" s="3" t="inlineStr">
        <is>
          <t>2. COSTES FIJOS Y VARIABLES DE LA EMPRESA</t>
        </is>
      </c>
      <c r="B30" s="4" t="n"/>
      <c r="C30" s="4" t="n"/>
      <c r="D30" s="4" t="n"/>
      <c r="E30" s="42" t="inlineStr">
        <is>
          <t>→ VA AL INFORME</t>
        </is>
      </c>
    </row>
    <row r="31" ht="31" customHeight="1">
      <c r="A31" s="43" t="inlineStr">
        <is>
          <t>Del Anexo 1, reordenado por comportamiento en vez de por naturaleza. Sin esta separación no se puede juzgar un pedido nuevo. Reconstruye el EBITDA exacto.</t>
        </is>
      </c>
      <c r="B31" s="44" t="n"/>
      <c r="C31" s="44" t="n"/>
      <c r="D31" s="44" t="n"/>
      <c r="E31" s="44" t="n"/>
    </row>
    <row r="32" ht="24" customHeight="1">
      <c r="A32" s="11" t="inlineStr">
        <is>
          <t>Concepto</t>
        </is>
      </c>
      <c r="B32" s="12" t="inlineStr">
        <is>
          <t>Importe 2025</t>
        </is>
      </c>
      <c r="C32" s="12" t="inlineStr">
        <is>
          <t>% s/ventas</t>
        </is>
      </c>
      <c r="D32" s="12" t="inlineStr"/>
      <c r="E32" s="12" t="inlineStr">
        <is>
          <t>Comentario</t>
        </is>
      </c>
    </row>
    <row r="33">
      <c r="A33" s="33" t="inlineStr">
        <is>
          <t>VENTAS NETAS</t>
        </is>
      </c>
      <c r="B33" s="48" t="n">
        <v>4585267</v>
      </c>
      <c r="C33" s="49">
        <f>B33/B33</f>
        <v>1.0</v>
      </c>
      <c r="D33" s="35" t="n"/>
      <c r="E33" s="35" t="n"/>
    </row>
    <row r="34">
      <c r="A34" s="24" t="inlineStr">
        <is>
          <t>Materia prima consumida</t>
        </is>
      </c>
      <c r="B34" s="41">
        <f>3068506-376062</f>
        <v>2692444.0</v>
      </c>
      <c r="C34" s="47">
        <f>B34/B33</f>
        <v>0.5871945952111404</v>
      </c>
      <c r="E34" s="26" t="inlineStr">
        <is>
          <t>Aprovisionamientos menos el aumento de existencias</t>
        </is>
      </c>
    </row>
    <row r="35">
      <c r="A35" s="24" t="inlineStr">
        <is>
          <t>Transporte</t>
        </is>
      </c>
      <c r="B35" s="38" t="n">
        <v>268218</v>
      </c>
      <c r="C35" s="39">
        <f>B35/B33</f>
        <v>0.05849561214210645</v>
      </c>
    </row>
    <row r="36">
      <c r="A36" s="24" t="inlineStr">
        <is>
          <t>Otros costes de explotación</t>
        </is>
      </c>
      <c r="B36" s="38" t="n">
        <v>378979</v>
      </c>
      <c r="C36" s="39">
        <f>B36/B33</f>
        <v>0.08265145737423797</v>
      </c>
    </row>
    <row r="37">
      <c r="A37" s="33" t="inlineStr">
        <is>
          <t>TOTAL COSTES VARIABLES</t>
        </is>
      </c>
      <c r="B37" s="48">
        <f>SUM(B34:B36)</f>
        <v>3339641.0</v>
      </c>
      <c r="C37" s="49">
        <f>B37/B33</f>
        <v>0.7283416647274847</v>
      </c>
      <c r="D37" s="35" t="n"/>
      <c r="E37" s="36" t="inlineStr">
        <is>
          <t>Crecen si se fabrica más</t>
        </is>
      </c>
    </row>
    <row r="38">
      <c r="A38" s="21" t="inlineStr">
        <is>
          <t>MARGEN DE CONTRIBUCIÓN</t>
        </is>
      </c>
      <c r="B38" s="50">
        <f>B33-B37</f>
        <v>1245626.0</v>
      </c>
      <c r="C38" s="51">
        <f>B38/B33</f>
        <v>0.2716583352725152</v>
      </c>
      <c r="D38" s="6" t="n"/>
      <c r="E38" s="23" t="inlineStr">
        <is>
          <t>De cada euro vendido quedan 27 céntimos</t>
        </is>
      </c>
    </row>
    <row r="39">
      <c r="A39" s="24" t="inlineStr">
        <is>
          <t>Personal de producción</t>
        </is>
      </c>
      <c r="B39" s="38" t="n">
        <v>481660</v>
      </c>
      <c r="C39" s="39">
        <f>B39/B33</f>
        <v>0.10504513695712812</v>
      </c>
      <c r="E39" s="26" t="inlineStr">
        <is>
          <t>FIJO en la práctica: Esteban no quiere despidos</t>
        </is>
      </c>
    </row>
    <row r="40">
      <c r="A40" s="24" t="inlineStr">
        <is>
          <t>Personal de estructura</t>
        </is>
      </c>
      <c r="B40" s="38" t="n">
        <v>311292</v>
      </c>
      <c r="C40" s="39">
        <f>B40/B33</f>
        <v>0.06788961253510428</v>
      </c>
    </row>
    <row r="41">
      <c r="A41" s="33" t="inlineStr">
        <is>
          <t>TOTAL COSTES FIJOS</t>
        </is>
      </c>
      <c r="B41" s="48">
        <f>B39+B40</f>
        <v>792952.0</v>
      </c>
      <c r="C41" s="49">
        <f>B41/B33</f>
        <v>0.1729347494922324</v>
      </c>
      <c r="D41" s="35" t="n"/>
      <c r="E41" s="36" t="inlineStr">
        <is>
          <t>Se pagan se fabrique o no</t>
        </is>
      </c>
    </row>
    <row r="42">
      <c r="A42" s="24" t="inlineStr">
        <is>
          <t>EBITDA reconstruido</t>
        </is>
      </c>
      <c r="B42" s="52">
        <f>B38-B41</f>
        <v>452674.0</v>
      </c>
    </row>
    <row r="43">
      <c r="A43" s="21" t="inlineStr">
        <is>
          <t>Diferencia con el EBITDA del Anexo 1</t>
        </is>
      </c>
      <c r="B43" s="50">
        <f>B42-452674</f>
        <v>0.0</v>
      </c>
      <c r="C43" s="6" t="n"/>
      <c r="D43" s="6" t="n"/>
      <c r="E43" s="23" t="inlineStr">
        <is>
          <t>Cuadra al euro: la reordenación es indiscutible</t>
        </is>
      </c>
    </row>
    <row r="45" ht="24" customHeight="1">
      <c r="A45" s="11" t="inlineStr">
        <is>
          <t>Punto de equilibrio</t>
        </is>
      </c>
      <c r="B45" s="12" t="inlineStr">
        <is>
          <t>Hoy</t>
        </is>
      </c>
      <c r="C45" s="12" t="inlineStr">
        <is>
          <t>Con Persán</t>
        </is>
      </c>
      <c r="D45" s="12" t="inlineStr"/>
      <c r="E45" s="12" t="inlineStr">
        <is>
          <t>Comentario</t>
        </is>
      </c>
    </row>
    <row r="46">
      <c r="A46" s="24" t="inlineStr">
        <is>
          <t>Ratio de margen de contribución</t>
        </is>
      </c>
      <c r="B46" s="53">
        <f>B38/B33</f>
        <v>0.2716583352725152</v>
      </c>
    </row>
    <row r="47">
      <c r="A47" s="33" t="inlineStr">
        <is>
          <t>PUNTO DE EQUILIBRIO (resultado = 0)</t>
        </is>
      </c>
      <c r="B47" s="48">
        <f>(B41+36143+44046)/B46</f>
        <v>3214114.5204475503</v>
      </c>
      <c r="C47" s="48">
        <f>(B41+108000+36143+44046)/B46</f>
        <v>3611672.724916628</v>
      </c>
      <c r="D47" s="35" t="n"/>
      <c r="E47" s="36" t="inlineStr">
        <is>
          <t>Persán sube los costes fijos 108.000 € (campa + leasing) sin aportar margen</t>
        </is>
      </c>
    </row>
    <row r="48">
      <c r="A48" s="21" t="inlineStr">
        <is>
          <t>MARGEN DE SEGURIDAD</t>
        </is>
      </c>
      <c r="B48" s="51">
        <f>(B33-B47)/B33</f>
        <v>0.2990343811063673</v>
      </c>
      <c r="C48" s="51">
        <f>(B33-C47)/B33</f>
        <v>0.21233098859529267</v>
      </c>
      <c r="D48" s="6" t="n"/>
      <c r="E48" s="23" t="inlineStr">
        <is>
          <t>Cuánto puede caer la facturación antes de entrar en pérdidas</t>
        </is>
      </c>
    </row>
    <row r="50" ht="24" customHeight="1">
      <c r="A50" s="11" t="inlineStr">
        <is>
          <t>¿Hay caja para invertir o repartir?</t>
        </is>
      </c>
      <c r="B50" s="12" t="inlineStr">
        <is>
          <t>Importe</t>
        </is>
      </c>
      <c r="C50" s="12" t="inlineStr"/>
      <c r="D50" s="12" t="inlineStr"/>
      <c r="E50" s="12" t="inlineStr">
        <is>
          <t>Comentario</t>
        </is>
      </c>
    </row>
    <row r="51">
      <c r="A51" s="24" t="inlineStr">
        <is>
          <t>EBITDA 2025</t>
        </is>
      </c>
      <c r="B51" s="38" t="n">
        <v>452674</v>
      </c>
    </row>
    <row r="52">
      <c r="A52" s="24" t="inlineStr">
        <is>
          <t>(−) Aumento de existencias</t>
        </is>
      </c>
      <c r="B52" s="38" t="n">
        <v>-376062</v>
      </c>
      <c r="E52" s="26" t="inlineStr">
        <is>
          <t>Madera comprada que sigue en el almacén</t>
        </is>
      </c>
    </row>
    <row r="53">
      <c r="A53" s="24" t="inlineStr">
        <is>
          <t>(−) Gastos financieros e impuestos</t>
        </is>
      </c>
      <c r="B53" s="38" t="n">
        <v>-137167</v>
      </c>
    </row>
    <row r="54">
      <c r="A54" s="13" t="inlineStr">
        <is>
          <t>CAJA OPERATIVA REAL</t>
        </is>
      </c>
      <c r="B54" s="19">
        <f>SUM(B51:B53)</f>
        <v>-60555.0</v>
      </c>
      <c r="C54" s="8" t="n"/>
      <c r="D54" s="8" t="n"/>
      <c r="E54" s="15" t="inlineStr">
        <is>
          <t>NEGATIVA, con 279.364 € de beneficio contable</t>
        </is>
      </c>
    </row>
    <row r="56">
      <c r="A56" s="3" t="inlineStr">
        <is>
          <t>3. ¿CABE PERSÁN EN LA FÁBRICA?</t>
        </is>
      </c>
      <c r="B56" s="4" t="n"/>
      <c r="C56" s="4" t="n"/>
      <c r="D56" s="4" t="n"/>
      <c r="E56" s="42" t="inlineStr">
        <is>
          <t>→ VA AL INFORME</t>
        </is>
      </c>
    </row>
    <row r="57" ht="31" customHeight="1">
      <c r="A57" s="43" t="inlineStr">
        <is>
          <t>El caso da rendimientos por hora y por jornada, pero nunca la capacidad anual. Sin ella no se sabe si el contrato es viable ni si la máquina hace falta.</t>
        </is>
      </c>
      <c r="B57" s="44" t="n"/>
      <c r="C57" s="44" t="n"/>
      <c r="D57" s="44" t="n"/>
      <c r="E57" s="44" t="n"/>
    </row>
    <row r="58" ht="24" customHeight="1">
      <c r="A58" s="11" t="inlineStr">
        <is>
          <t>Sistema</t>
        </is>
      </c>
      <c r="B58" s="12" t="inlineStr">
        <is>
          <t>Palets/día</t>
        </is>
      </c>
      <c r="C58" s="12" t="inlineStr">
        <is>
          <t>Palets/año</t>
        </is>
      </c>
      <c r="D58" s="12" t="inlineStr">
        <is>
          <t>Operarios</t>
        </is>
      </c>
      <c r="E58" s="12" t="inlineStr">
        <is>
          <t>Cálculo</t>
        </is>
      </c>
    </row>
    <row r="59">
      <c r="A59" s="24" t="inlineStr">
        <is>
          <t>Línea automática (2019)</t>
        </is>
      </c>
      <c r="B59" s="54">
        <f>65*0.75*8</f>
        <v>390.0</v>
      </c>
      <c r="C59" s="54">
        <f>B59*$B$6</f>
        <v>94380.0</v>
      </c>
      <c r="D59" s="54" t="n">
        <v>2</v>
      </c>
      <c r="E59" s="26" t="inlineStr">
        <is>
          <t>65 palets/h × 75% de rendimiento × 8 h</t>
        </is>
      </c>
    </row>
    <row r="60">
      <c r="A60" s="24" t="inlineStr">
        <is>
          <t>Fabricación manual</t>
        </is>
      </c>
      <c r="B60" s="37" t="n">
        <v>500</v>
      </c>
      <c r="C60" s="37">
        <f>B60*$B$6</f>
        <v>121000.0</v>
      </c>
      <c r="D60" s="37" t="n">
        <v>8</v>
      </c>
      <c r="E60" s="26" t="inlineStr">
        <is>
          <t>500 al día entre 8 operarios = 62,5 cada uno</t>
        </is>
      </c>
    </row>
    <row r="61">
      <c r="A61" s="33" t="inlineStr">
        <is>
          <t>CAPACIDAD ACTUAL</t>
        </is>
      </c>
      <c r="B61" s="34">
        <f>B59+B60</f>
        <v>890.0</v>
      </c>
      <c r="C61" s="34">
        <f>C59+C60</f>
        <v>215380.0</v>
      </c>
      <c r="D61" s="34">
        <f>D59+D60</f>
        <v>10.0</v>
      </c>
      <c r="E61" s="35" t="n"/>
    </row>
    <row r="62">
      <c r="A62" s="24" t="inlineStr">
        <is>
          <t>Robot nuevo</t>
        </is>
      </c>
      <c r="B62" s="54">
        <f>400*0.9</f>
        <v>360.0</v>
      </c>
      <c r="C62" s="54">
        <f>B62*$B$6</f>
        <v>87120.0</v>
      </c>
      <c r="D62" s="54" t="n">
        <v>1</v>
      </c>
      <c r="E62" s="26" t="inlineStr">
        <is>
          <t>400 palets/jornada × 90% de rendimiento</t>
        </is>
      </c>
    </row>
    <row r="64" ht="24" customHeight="1">
      <c r="A64" s="11" t="inlineStr">
        <is>
          <t>Concepto</t>
        </is>
      </c>
      <c r="B64" s="12" t="inlineStr">
        <is>
          <t>Palets/año</t>
        </is>
      </c>
      <c r="C64" s="12" t="inlineStr"/>
      <c r="D64" s="12" t="inlineStr"/>
      <c r="E64" s="12" t="inlineStr">
        <is>
          <t>Comentario</t>
        </is>
      </c>
    </row>
    <row r="65">
      <c r="A65" s="24" t="inlineStr">
        <is>
          <t>Producción real de palet nuevo 2025</t>
        </is>
      </c>
      <c r="B65" s="37" t="n">
        <v>174504</v>
      </c>
      <c r="E65" s="26" t="inlineStr">
        <is>
          <t>Anexo 2</t>
        </is>
      </c>
    </row>
    <row r="66">
      <c r="A66" s="16" t="inlineStr">
        <is>
          <t>UTILIZACIÓN ACTUAL</t>
        </is>
      </c>
      <c r="B66" s="20">
        <f>B65/C61</f>
        <v>0.8102145045965271</v>
      </c>
      <c r="C66" s="10" t="n"/>
      <c r="D66" s="10" t="n"/>
      <c r="E66" s="18" t="inlineStr">
        <is>
          <t>La fábrica NO está llena</t>
        </is>
      </c>
    </row>
    <row r="67">
      <c r="A67" s="16" t="inlineStr">
        <is>
          <t>Capacidad ociosa disponible hoy</t>
        </is>
      </c>
      <c r="B67" s="29">
        <f>C61-B65</f>
        <v>40876.0</v>
      </c>
      <c r="C67" s="10" t="n"/>
      <c r="D67" s="10" t="n"/>
      <c r="E67" s="18" t="inlineStr">
        <is>
          <t>Se puede fabricar esto sin invertir un euro. El «no llegamos» no se sostiene</t>
        </is>
      </c>
    </row>
    <row r="68">
      <c r="A68" s="24" t="inlineStr">
        <is>
          <t>Capacidad con robot / demanda con Persán</t>
        </is>
      </c>
      <c r="B68" s="28">
        <f>C61+C62</f>
        <v>302500.0</v>
      </c>
      <c r="C68" s="28">
        <f>B65+B10</f>
        <v>264504.0</v>
      </c>
      <c r="E68" s="26" t="inlineStr">
        <is>
          <t>Con el robot cabe. Sin él faltarían 49.124 palets: si se firma, hace falta capacidad nueva sí o sí</t>
        </is>
      </c>
    </row>
    <row r="69">
      <c r="A69" s="55" t="inlineStr">
        <is>
          <t>Aviso: el robot solo llega a 87.120</t>
        </is>
      </c>
      <c r="B69" s="56">
        <f>C62-B10</f>
        <v>-2880.0</v>
      </c>
      <c r="C69" s="57" t="n"/>
      <c r="D69" s="57" t="n"/>
      <c r="E69" s="58" t="inlineStr">
        <is>
          <t>La NOTA 1 calcula la mano de obra sobre 90.000 unidades, pero al 90% de rendimiento la máquina se queda 2.880 corta. Se completa con la línea de 2019, que tiene holgura. Efecto pequeño, pero conviene decirlo en el informe</t>
        </is>
      </c>
    </row>
    <row r="71">
      <c r="A71" s="3" t="inlineStr">
        <is>
          <t>4. ¿CUÁNTO CUESTA FIRMAR?</t>
        </is>
      </c>
      <c r="B71" s="4" t="n"/>
      <c r="C71" s="4" t="n"/>
      <c r="D71" s="4" t="n"/>
      <c r="E71" s="42" t="inlineStr">
        <is>
          <t>→ VA AL INFORME</t>
        </is>
      </c>
    </row>
    <row r="72" ht="24" customHeight="1">
      <c r="A72" s="11" t="inlineStr">
        <is>
          <t>Concepto</t>
        </is>
      </c>
      <c r="B72" s="12" t="inlineStr">
        <is>
          <t>Importe anual</t>
        </is>
      </c>
      <c r="C72" s="12" t="inlineStr"/>
      <c r="D72" s="12" t="inlineStr"/>
      <c r="E72" s="12" t="inlineStr">
        <is>
          <t>Comentario</t>
        </is>
      </c>
    </row>
    <row r="73">
      <c r="A73" s="24" t="inlineStr">
        <is>
          <t>Ingresos</t>
        </is>
      </c>
      <c r="B73" s="41">
        <f>B10*B11</f>
        <v>900000.0</v>
      </c>
      <c r="E73" s="26" t="inlineStr">
        <is>
          <t>90.000 × 10 €</t>
        </is>
      </c>
    </row>
    <row r="74">
      <c r="A74" s="24" t="inlineStr">
        <is>
          <t>(−) Costes variables</t>
        </is>
      </c>
      <c r="B74" s="41">
        <f>-B10*D25</f>
        <v>-946800.0</v>
      </c>
      <c r="E74" s="26" t="inlineStr">
        <is>
          <t>90.000 × 10,52 €</t>
        </is>
      </c>
    </row>
    <row r="75">
      <c r="A75" s="13" t="inlineStr">
        <is>
          <t>MARGEN DE CONTRIBUCIÓN</t>
        </is>
      </c>
      <c r="B75" s="30">
        <f>B73+B74</f>
        <v>-46800.0</v>
      </c>
      <c r="C75" s="8" t="n"/>
      <c r="D75" s="8" t="n"/>
      <c r="E75" s="15" t="inlineStr">
        <is>
          <t>Negativo ANTES de cualquier coste fijo</t>
        </is>
      </c>
    </row>
    <row r="76">
      <c r="A76" s="24" t="inlineStr">
        <is>
          <t>(−) Alquiler de la campa</t>
        </is>
      </c>
      <c r="B76" s="41">
        <f>-B14</f>
        <v>-60000.0</v>
      </c>
    </row>
    <row r="77">
      <c r="A77" s="24" t="inlineStr">
        <is>
          <t>(−) Leasing de máquina y camión</t>
        </is>
      </c>
      <c r="B77" s="41">
        <f>-B15</f>
        <v>-48000.0</v>
      </c>
    </row>
    <row r="78">
      <c r="A78" s="24" t="inlineStr">
        <is>
          <t>Circulante inmovilizado</t>
        </is>
      </c>
      <c r="B78" s="41">
        <f>B10*B11*B12/365+B13*D25</f>
        <v>454355.61643835617</v>
      </c>
      <c r="E78" s="26" t="inlineStr">
        <is>
          <t>Cobro a 180 días (443.836 €) más el retén de 1.000 palets (10.520 €)</t>
        </is>
      </c>
    </row>
    <row r="79">
      <c r="A79" s="24" t="inlineStr">
        <is>
          <t>(−) Coste financiero del circulante</t>
        </is>
      </c>
      <c r="B79" s="41">
        <f>-B78*B9</f>
        <v>-34076.67123287671</v>
      </c>
      <c r="E79" s="26" t="inlineStr">
        <is>
          <t>Al 7,5%. El escandallo no lo recoge, pero es un coste real</t>
        </is>
      </c>
    </row>
    <row r="80">
      <c r="A80" s="13" t="inlineStr">
        <is>
          <t>IMPACTO ANUAL DEL CONTRATO</t>
        </is>
      </c>
      <c r="B80" s="19">
        <f>B75-B14-B15+B79</f>
        <v>-188876.67123287672</v>
      </c>
      <c r="C80" s="8" t="n"/>
      <c r="D80" s="8" t="n"/>
      <c r="E80" s="8" t="n"/>
    </row>
    <row r="81">
      <c r="A81" s="13" t="inlineStr">
        <is>
          <t>En % del beneficio de la empresa</t>
        </is>
      </c>
      <c r="B81" s="59">
        <f>B80/279364</f>
        <v>-0.676095242167483</v>
      </c>
      <c r="C81" s="8" t="n"/>
      <c r="D81" s="8" t="n"/>
      <c r="E81" s="15" t="inlineStr">
        <is>
          <t>Se lleva por delante dos tercios del beneficio de TODA la empresa</t>
        </is>
      </c>
    </row>
    <row r="82">
      <c r="A82" s="13" t="inlineStr">
        <is>
          <t>Impacto acumulado a 5 años</t>
        </is>
      </c>
      <c r="B82" s="30">
        <f>B80*5</f>
        <v>-944383.3561643836</v>
      </c>
      <c r="C82" s="8" t="n"/>
      <c r="D82" s="8" t="n"/>
      <c r="E82" s="15" t="inlineStr">
        <is>
          <t>El contrato dura 5 años sin revisión de precio</t>
        </is>
      </c>
    </row>
    <row r="83">
      <c r="A83" s="13" t="inlineStr">
        <is>
          <t>Caja necesaria el primer año</t>
        </is>
      </c>
      <c r="B83" s="30">
        <f>B80-B78</f>
        <v>-643232.2876712328</v>
      </c>
      <c r="C83" s="8" t="n"/>
      <c r="D83" s="8" t="n"/>
      <c r="E83" s="15" t="inlineStr">
        <is>
          <t>Frente a una caja operativa de −60.555 € en 2025</t>
        </is>
      </c>
    </row>
    <row r="85">
      <c r="A85" s="3" t="inlineStr">
        <is>
          <t>5. ¿A QUÉ PRECIO SÍ?</t>
        </is>
      </c>
      <c r="B85" s="4" t="n"/>
      <c r="C85" s="4" t="n"/>
      <c r="D85" s="4" t="n"/>
      <c r="E85" s="42" t="inlineStr">
        <is>
          <t>→ VA AL INFORME</t>
        </is>
      </c>
    </row>
    <row r="86" ht="24" customHeight="1">
      <c r="A86" s="11" t="inlineStr">
        <is>
          <t>Nivel de cobertura</t>
        </is>
      </c>
      <c r="B86" s="12" t="inlineStr">
        <is>
          <t>Precio mínimo</t>
        </is>
      </c>
      <c r="C86" s="12" t="inlineStr">
        <is>
          <t>Subida</t>
        </is>
      </c>
      <c r="D86" s="12" t="inlineStr"/>
      <c r="E86" s="12" t="inlineStr">
        <is>
          <t>Qué cubre</t>
        </is>
      </c>
    </row>
    <row r="87">
      <c r="A87" s="24" t="inlineStr">
        <is>
          <t>1. Solo los costes variables</t>
        </is>
      </c>
      <c r="B87" s="60">
        <f>D25</f>
        <v>10.52</v>
      </c>
      <c r="C87" s="47">
        <f>B87/B11-1</f>
        <v>0.052000000000000046</v>
      </c>
      <c r="E87" s="26" t="inlineStr">
        <is>
          <t>Madera, mano de obra, transporte y variables</t>
        </is>
      </c>
    </row>
    <row r="88">
      <c r="A88" s="24" t="inlineStr">
        <is>
          <t>2. + campa y leasing</t>
        </is>
      </c>
      <c r="B88" s="60">
        <f>D25+(B14+B15)/B10</f>
        <v>11.719999999999999</v>
      </c>
      <c r="C88" s="47">
        <f>B88/B11-1</f>
        <v>0.17199999999999993</v>
      </c>
      <c r="E88" s="26" t="inlineStr">
        <is>
          <t>Añade los costes fijos que el contrato obliga a asumir</t>
        </is>
      </c>
    </row>
    <row r="89">
      <c r="A89" s="16" t="inlineStr">
        <is>
          <t>3. + coste del circulante</t>
        </is>
      </c>
      <c r="B89" s="17">
        <f>(B10*D25+B14+B15)/(B10*(1-B12/365*B9))</f>
        <v>12.170128022759602</v>
      </c>
      <c r="C89" s="20">
        <f>B89/B11-1</f>
        <v>0.21701280227596031</v>
      </c>
      <c r="D89" s="10" t="n"/>
      <c r="E89" s="18" t="inlineStr">
        <is>
          <t>PRECIO DE EQUILIBRIO REAL</t>
        </is>
      </c>
    </row>
    <row r="90">
      <c r="A90" s="24" t="inlineStr">
        <is>
          <t>4. + margen igual al del negocio actual</t>
        </is>
      </c>
      <c r="B90" s="60">
        <f>B88+B26</f>
        <v>14.51</v>
      </c>
      <c r="C90" s="47">
        <f>B90/B11-1</f>
        <v>0.45100000000000007</v>
      </c>
      <c r="E90" s="26" t="inlineStr">
        <is>
          <t>Para que Persán rinda como el resto del palet nuevo</t>
        </is>
      </c>
    </row>
    <row r="92" ht="24" customHeight="1">
      <c r="A92" s="11" t="inlineStr">
        <is>
          <t>Escenario de negociación</t>
        </is>
      </c>
      <c r="B92" s="12" t="inlineStr">
        <is>
          <t>Precio</t>
        </is>
      </c>
      <c r="C92" s="12" t="inlineStr">
        <is>
          <t>Madera</t>
        </is>
      </c>
      <c r="D92" s="12" t="inlineStr">
        <is>
          <t>Cobro (días)</t>
        </is>
      </c>
      <c r="E92" s="12" t="inlineStr">
        <is>
          <t>Impacto anual</t>
        </is>
      </c>
    </row>
    <row r="93">
      <c r="A93" s="61" t="inlineStr">
        <is>
          <t>Contrato actual</t>
        </is>
      </c>
      <c r="B93" s="62" t="n">
        <v>10</v>
      </c>
      <c r="C93" s="62" t="n">
        <v>8.27</v>
      </c>
      <c r="D93" s="63" t="n">
        <v>180</v>
      </c>
      <c r="E93" s="30">
        <f>90000*(B93-(C93+2.25))-108000-(B93*90000*D93/365+1000*(C93+2.25))*0.075</f>
        <v>-188876.6712328767</v>
      </c>
    </row>
    <row r="94">
      <c r="A94" s="61" t="inlineStr">
        <is>
          <t>Solo el plazo de cobro</t>
        </is>
      </c>
      <c r="B94" s="62" t="n">
        <v>10</v>
      </c>
      <c r="C94" s="62" t="n">
        <v>8.27</v>
      </c>
      <c r="D94" s="63" t="n">
        <v>90</v>
      </c>
      <c r="E94" s="30">
        <f>90000*(B94-(C94+2.25))-108000-(B94*90000*D94/365+1000*(C94+2.25))*0.075</f>
        <v>-172232.83561643833</v>
      </c>
    </row>
    <row r="95">
      <c r="A95" s="61" t="inlineStr">
        <is>
          <t>Solo la madera re-especificada</t>
        </is>
      </c>
      <c r="B95" s="62" t="n">
        <v>10</v>
      </c>
      <c r="C95" s="62" t="n">
        <v>7.5</v>
      </c>
      <c r="D95" s="63" t="n">
        <v>180</v>
      </c>
      <c r="E95" s="30">
        <f>90000*(B95-(C95+2.25))-108000-(B95*90000*D95/365+1000*(C95+2.25))*0.075</f>
        <v>-119518.92123287672</v>
      </c>
    </row>
    <row r="96">
      <c r="A96" s="64" t="inlineStr">
        <is>
          <t>Mínimo aceptable</t>
        </is>
      </c>
      <c r="B96" s="65" t="n">
        <v>12.17</v>
      </c>
      <c r="C96" s="65" t="n">
        <v>8.27</v>
      </c>
      <c r="D96" s="66" t="n">
        <v>180</v>
      </c>
      <c r="E96" s="31">
        <f>90000*(B96-(C96+2.25))-108000-(B96*90000*D96/365+1000*(C96+2.25))*0.075</f>
        <v>-800.0958904109211</v>
      </c>
    </row>
    <row r="97">
      <c r="A97" s="67" t="inlineStr">
        <is>
          <t>Precio y plazo</t>
        </is>
      </c>
      <c r="B97" s="68" t="n">
        <v>12.5</v>
      </c>
      <c r="C97" s="68" t="n">
        <v>8.27</v>
      </c>
      <c r="D97" s="69" t="n">
        <v>90</v>
      </c>
      <c r="E97" s="50">
        <f>90000*(B97-(C97+2.25))-108000-(B97*90000*D97/365+1000*(C97+2.25))*0.075</f>
        <v>48606.20547945208</v>
      </c>
    </row>
    <row r="98">
      <c r="A98" s="21" t="inlineStr">
        <is>
          <t>CONTRATO IDEAL: las tres palancas</t>
        </is>
      </c>
      <c r="B98" s="68" t="n">
        <v>12.5</v>
      </c>
      <c r="C98" s="68" t="n">
        <v>7.5</v>
      </c>
      <c r="D98" s="69" t="n">
        <v>90</v>
      </c>
      <c r="E98" s="50">
        <f>90000*(B98-(C98+2.25))-108000-(B98*90000*D98/365+1000*(C98+2.25))*0.075</f>
        <v>117963.95547945205</v>
      </c>
    </row>
    <row r="99" ht="31" customHeight="1">
      <c r="A99" s="43" t="inlineStr">
        <is>
          <t>Ninguna palanca por separado salva el contrato. Hay que subir el precio sí o sí, pero combinarlo con las otras dos reduce lo que hay que pedir: en vez de exigir 12,17 € a secas, se cierra en 12,50 € con un palet más barato de fabricar y cobrando antes.</t>
        </is>
      </c>
      <c r="B99" s="44" t="n"/>
      <c r="C99" s="44" t="n"/>
      <c r="D99" s="44" t="n"/>
      <c r="E99" s="44" t="n"/>
    </row>
    <row r="101">
      <c r="A101" s="3" t="inlineStr">
        <is>
          <t>6. LA MÁQUINA, POR SEPARADO</t>
        </is>
      </c>
      <c r="B101" s="4" t="n"/>
      <c r="C101" s="4" t="n"/>
      <c r="D101" s="4" t="n"/>
      <c r="E101" s="42" t="inlineStr">
        <is>
          <t>→ VA AL INFORME</t>
        </is>
      </c>
    </row>
    <row r="102" ht="31" customHeight="1">
      <c r="A102" s="43" t="inlineStr">
        <is>
          <t>El caso presenta máquina y contrato como una sola decisión. Tienen plazos distintos: el fabricante pide respuesta HOY, el contrato es todavía un borrador.</t>
        </is>
      </c>
      <c r="B102" s="44" t="n"/>
      <c r="C102" s="44" t="n"/>
      <c r="D102" s="44" t="n"/>
      <c r="E102" s="44" t="n"/>
    </row>
    <row r="103" ht="24" customHeight="1">
      <c r="A103" s="11" t="inlineStr">
        <is>
          <t>Concepto</t>
        </is>
      </c>
      <c r="B103" s="12" t="inlineStr">
        <is>
          <t>Manual</t>
        </is>
      </c>
      <c r="C103" s="12" t="inlineStr">
        <is>
          <t>Línea 2019</t>
        </is>
      </c>
      <c r="D103" s="12" t="inlineStr">
        <is>
          <t>Robot</t>
        </is>
      </c>
      <c r="E103" s="12" t="inlineStr">
        <is>
          <t>Comentario</t>
        </is>
      </c>
    </row>
    <row r="104">
      <c r="A104" s="24" t="inlineStr">
        <is>
          <t>Palets por operario y día</t>
        </is>
      </c>
      <c r="B104" s="70" t="n">
        <v>62.5</v>
      </c>
      <c r="C104" s="70" t="n">
        <v>195</v>
      </c>
      <c r="D104" s="70" t="n">
        <v>360</v>
      </c>
      <c r="E104" s="26" t="inlineStr">
        <is>
          <t>El robot multiplica por 5,8 la productividad manual</t>
        </is>
      </c>
    </row>
    <row r="105">
      <c r="A105" s="16" t="inlineStr">
        <is>
          <t>Cambio de formato (horas)</t>
        </is>
      </c>
      <c r="B105" s="10" t="n"/>
      <c r="C105" s="71" t="n">
        <v>6</v>
      </c>
      <c r="D105" s="71" t="n">
        <v>0.42</v>
      </c>
      <c r="E105" s="18" t="inlineStr">
        <is>
          <t>LA RAZÓN DE COMPRARLA: 6 horas de parada frente a 25 minutos. Alcopalet gana dinero en series especiales (114×114 de Don Simón, Tetra Pak). Con 6 horas de parada una serie corta es inviable; con media hora, es negocio</t>
        </is>
      </c>
    </row>
    <row r="107" ht="24" customHeight="1">
      <c r="A107" s="11" t="inlineStr">
        <is>
          <t>Análisis de la inversión</t>
        </is>
      </c>
      <c r="B107" s="12" t="inlineStr">
        <is>
          <t>Importe</t>
        </is>
      </c>
      <c r="C107" s="12" t="inlineStr"/>
      <c r="D107" s="12" t="inlineStr"/>
      <c r="E107" s="12" t="inlineStr">
        <is>
          <t>Comentario</t>
        </is>
      </c>
    </row>
    <row r="108">
      <c r="A108" s="24" t="inlineStr">
        <is>
          <t>Inversión</t>
        </is>
      </c>
      <c r="B108" s="38" t="n">
        <v>40000</v>
      </c>
      <c r="E108" s="26" t="inlineStr">
        <is>
          <t>Sobre un beneficio de 279.364 €</t>
        </is>
      </c>
    </row>
    <row r="109">
      <c r="A109" s="21" t="inlineStr">
        <is>
          <t>Leasing solo de la máquina (€/año)</t>
        </is>
      </c>
      <c r="B109" s="50">
        <f>40000*(0.075/12)/(1-(1+0.075/12)^-60)*12</f>
        <v>9618.215325899295</v>
      </c>
      <c r="C109" s="6" t="n"/>
      <c r="D109" s="6" t="n"/>
      <c r="E109" s="23" t="inlineStr">
        <is>
          <t>Frente a 48.000 €/año si se financia junto con el tráiler: separar las dos compras ahorra 38.382 € al año</t>
        </is>
      </c>
    </row>
    <row r="110">
      <c r="A110" s="55" t="inlineStr">
        <is>
          <t>Ahorro si el personal liberado se reasigna</t>
        </is>
      </c>
      <c r="B110" s="72" t="n">
        <v>180880</v>
      </c>
      <c r="C110" s="57" t="n"/>
      <c r="D110" s="57" t="n"/>
      <c r="E110" s="58" t="inlineStr">
        <is>
          <t>4,76 operarios equivalentes × 38.000 €. HIPÓTESIS: solo es real si esas personas producen algo vendible. Esteban no quiere despidos, así que hay que reasignarlas: la línea de palet usado necesita 2,6 más y solo le falta espacio</t>
        </is>
      </c>
    </row>
    <row r="111">
      <c r="A111" s="21" t="inlineStr">
        <is>
          <t>Plazo de recuperación (meses)</t>
        </is>
      </c>
      <c r="B111" s="73">
        <f>40000/180880*12</f>
        <v>2.6536930561698364</v>
      </c>
      <c r="C111" s="6" t="n"/>
      <c r="D111" s="6" t="n"/>
      <c r="E111" s="23" t="inlineStr">
        <is>
          <t>Menos de tres meses en ese escenario</t>
        </is>
      </c>
    </row>
    <row r="112">
      <c r="A112" s="24" t="inlineStr">
        <is>
          <t>Peor caso: nadie se reasigna</t>
        </is>
      </c>
      <c r="B112" s="52">
        <f>-B109</f>
        <v>-9618.215325899295</v>
      </c>
      <c r="E112" s="26" t="inlineStr">
        <is>
          <t>Se pierde solo el leasing. Riesgo acotado</t>
        </is>
      </c>
    </row>
    <row r="114">
      <c r="A114" s="3" t="inlineStr">
        <is>
          <t>7. LAS OPCIONES</t>
        </is>
      </c>
      <c r="B114" s="4" t="n"/>
      <c r="C114" s="4" t="n"/>
      <c r="D114" s="4" t="n"/>
      <c r="E114" s="42" t="inlineStr">
        <is>
          <t>→ VA AL INFORME</t>
        </is>
      </c>
    </row>
    <row r="115" ht="24" customHeight="1">
      <c r="A115" s="11" t="inlineStr">
        <is>
          <t>Opción</t>
        </is>
      </c>
      <c r="B115" s="12" t="inlineStr">
        <is>
          <t>Impacto anual</t>
        </is>
      </c>
      <c r="C115" s="12" t="inlineStr">
        <is>
          <t>Resultado neto</t>
        </is>
      </c>
      <c r="D115" s="12" t="inlineStr">
        <is>
          <t>Caja año 1</t>
        </is>
      </c>
      <c r="E115" s="12" t="inlineStr">
        <is>
          <t>Valoración</t>
        </is>
      </c>
    </row>
    <row r="116">
      <c r="A116" s="24" t="inlineStr">
        <is>
          <t>A — No hacer nada</t>
        </is>
      </c>
      <c r="B116" s="52" t="n">
        <v>0</v>
      </c>
      <c r="C116" s="52">
        <f>279364+B116</f>
        <v>279364.0</v>
      </c>
      <c r="D116" s="41" t="n">
        <v>0</v>
      </c>
      <c r="E116" s="26" t="inlineStr">
        <is>
          <t>Congela la empresa en los 3.000 m² actuales</t>
        </is>
      </c>
    </row>
    <row r="117">
      <c r="A117" s="61" t="inlineStr">
        <is>
          <t>B — Persán + robot (Esteban)</t>
        </is>
      </c>
      <c r="B117" s="30" t="n">
        <v>-188877</v>
      </c>
      <c r="C117" s="30">
        <f>279364+B117</f>
        <v>90487.0</v>
      </c>
      <c r="D117" s="74" t="n">
        <v>-643232</v>
      </c>
      <c r="E117" s="15" t="inlineStr">
        <is>
          <t>Insostenible: se lleva el 68% del beneficio</t>
        </is>
      </c>
    </row>
    <row r="118">
      <c r="A118" s="61" t="inlineStr">
        <is>
          <t>C — Dividendo sin invertir (padres)</t>
        </is>
      </c>
      <c r="B118" s="30" t="n">
        <v>0</v>
      </c>
      <c r="C118" s="30">
        <f>279364+B118</f>
        <v>279364.0</v>
      </c>
      <c r="D118" s="74" t="n">
        <v>-200000</v>
      </c>
      <c r="E118" s="15" t="inlineStr">
        <is>
          <t>No hay caja: en 2025 se generaron −60.555 €</t>
        </is>
      </c>
    </row>
    <row r="119">
      <c r="A119" s="64" t="inlineStr">
        <is>
          <t>D — Robot solo, sin tráiler</t>
        </is>
      </c>
      <c r="B119" s="31" t="n">
        <v>-9618</v>
      </c>
      <c r="C119" s="31">
        <f>279364+B119</f>
        <v>269746.0</v>
      </c>
      <c r="D119" s="75" t="n">
        <v>-9618</v>
      </c>
      <c r="E119" s="18" t="inlineStr">
        <is>
          <t>Riesgo mínimo y gana flexibilidad</t>
        </is>
      </c>
    </row>
    <row r="120">
      <c r="A120" s="21" t="inlineStr">
        <is>
          <t>E — Robot + Persán renegociado</t>
        </is>
      </c>
      <c r="B120" s="50" t="n">
        <v>117964</v>
      </c>
      <c r="C120" s="50">
        <f>279364+B120</f>
        <v>397328.0</v>
      </c>
      <c r="D120" s="76" t="n">
        <v>-287917</v>
      </c>
      <c r="E120" s="23" t="inlineStr">
        <is>
          <t>RECOMENDADA</t>
        </is>
      </c>
    </row>
    <row r="122" ht="24" customHeight="1">
      <c r="A122" s="11" t="inlineStr">
        <is>
          <t>¿Cumple las restricciones del caso?</t>
        </is>
      </c>
      <c r="B122" s="12" t="inlineStr">
        <is>
          <t>B</t>
        </is>
      </c>
      <c r="C122" s="12" t="inlineStr">
        <is>
          <t>D</t>
        </is>
      </c>
      <c r="D122" s="12" t="inlineStr">
        <is>
          <t>E</t>
        </is>
      </c>
      <c r="E122" s="12" t="inlineStr">
        <is>
          <t>Comentario</t>
        </is>
      </c>
    </row>
    <row r="123">
      <c r="A123" s="24" t="inlineStr">
        <is>
          <t>El contrato cubre sus costes</t>
        </is>
      </c>
      <c r="B123" s="77" t="inlineStr">
        <is>
          <t>NO</t>
        </is>
      </c>
      <c r="C123" s="78" t="inlineStr">
        <is>
          <t>n/a</t>
        </is>
      </c>
      <c r="D123" s="79" t="inlineStr">
        <is>
          <t>SÍ</t>
        </is>
      </c>
      <c r="E123" s="26" t="inlineStr">
        <is>
          <t>Solo E supera los 12,17 €</t>
        </is>
      </c>
    </row>
    <row r="124">
      <c r="A124" s="24" t="inlineStr">
        <is>
          <t>Cabe en la tesorería</t>
        </is>
      </c>
      <c r="B124" s="77" t="inlineStr">
        <is>
          <t>NO</t>
        </is>
      </c>
      <c r="C124" s="79" t="inlineStr">
        <is>
          <t>SÍ</t>
        </is>
      </c>
      <c r="D124" s="78" t="inlineStr">
        <is>
          <t>AJUSTADO</t>
        </is>
      </c>
      <c r="E124" s="26" t="inlineStr">
        <is>
          <t>B exige 643.000 € el primer año</t>
        </is>
      </c>
    </row>
    <row r="125">
      <c r="A125" s="24" t="inlineStr">
        <is>
          <t>Respeta «sin despidos»</t>
        </is>
      </c>
      <c r="B125" s="79" t="inlineStr">
        <is>
          <t>SÍ</t>
        </is>
      </c>
      <c r="C125" s="79" t="inlineStr">
        <is>
          <t>SÍ</t>
        </is>
      </c>
      <c r="D125" s="79" t="inlineStr">
        <is>
          <t>SÍ</t>
        </is>
      </c>
      <c r="E125" s="26" t="inlineStr">
        <is>
          <t>La capacidad extra se necesita igual</t>
        </is>
      </c>
    </row>
    <row r="126">
      <c r="A126" s="24" t="inlineStr">
        <is>
          <t>Respeta el turno único</t>
        </is>
      </c>
      <c r="B126" s="79" t="inlineStr">
        <is>
          <t>SÍ</t>
        </is>
      </c>
      <c r="C126" s="79" t="inlineStr">
        <is>
          <t>SÍ</t>
        </is>
      </c>
      <c r="D126" s="79" t="inlineStr">
        <is>
          <t>SÍ</t>
        </is>
      </c>
    </row>
    <row r="127">
      <c r="A127" s="24" t="inlineStr">
        <is>
          <t>Permite crecer hasta 2030</t>
        </is>
      </c>
      <c r="B127" s="79" t="inlineStr">
        <is>
          <t>SÍ</t>
        </is>
      </c>
      <c r="C127" s="78" t="inlineStr">
        <is>
          <t>PARCIAL</t>
        </is>
      </c>
      <c r="D127" s="79" t="inlineStr">
        <is>
          <t>SÍ</t>
        </is>
      </c>
    </row>
    <row r="128">
      <c r="A128" s="24" t="inlineStr">
        <is>
          <t>Da seguridad a los fundadores</t>
        </is>
      </c>
      <c r="B128" s="77" t="inlineStr">
        <is>
          <t>NO</t>
        </is>
      </c>
      <c r="C128" s="78" t="inlineStr">
        <is>
          <t>PARCIAL</t>
        </is>
      </c>
      <c r="D128" s="78" t="inlineStr">
        <is>
          <t>PARCIAL</t>
        </is>
      </c>
      <c r="E128" s="26" t="inlineStr">
        <is>
          <t>B deja el beneficio en 90.487 €: sin dividendo en cinco años</t>
        </is>
      </c>
    </row>
  </sheetData>
  <mergeCells count="6">
    <mergeCell ref="A57:E57"/>
    <mergeCell ref="A2:E2"/>
    <mergeCell ref="A99:E99"/>
    <mergeCell ref="A102:E102"/>
    <mergeCell ref="A31:E31"/>
    <mergeCell ref="A18:E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5" customWidth="1" min="2" max="2"/>
    <col width="14" customWidth="1" min="3" max="3"/>
    <col width="14" customWidth="1" min="4" max="4"/>
    <col width="46" customWidth="1" min="5" max="5"/>
  </cols>
  <sheetData>
    <row r="1">
      <c r="A1" s="1" t="inlineStr">
        <is>
          <t>Los anexos del informe final</t>
        </is>
      </c>
    </row>
    <row r="2" ht="16.5" customHeight="1">
      <c r="A2" s="2" t="inlineStr">
        <is>
          <t>Máximo 10 carillas INCLUYENDO anexos, portada e índice. Reparto: portada e índice 1 + informe 5 + anexos 3,5 = 9,5 carillas.</t>
        </is>
      </c>
    </row>
    <row r="4">
      <c r="A4" s="3" t="inlineStr">
        <is>
          <t>ANEXO 1 — ESTRUCTURA DE COSTES Y PUNTO DE EQUILIBRIO</t>
        </is>
      </c>
      <c r="B4" s="4" t="n"/>
      <c r="C4" s="4" t="n"/>
      <c r="D4" s="4" t="n"/>
      <c r="E4" s="42" t="inlineStr">
        <is>
          <t>½ carilla</t>
        </is>
      </c>
    </row>
    <row r="5" ht="24" customHeight="1">
      <c r="A5" s="11" t="inlineStr">
        <is>
          <t>Qué incluir</t>
        </is>
      </c>
      <c r="B5" s="12" t="inlineStr"/>
      <c r="C5" s="12" t="inlineStr"/>
      <c r="D5" s="12" t="inlineStr"/>
      <c r="E5" s="12" t="inlineStr">
        <is>
          <t>Por qué</t>
        </is>
      </c>
    </row>
    <row r="6">
      <c r="A6" s="24" t="inlineStr">
        <is>
          <t>Tabla de costes fijos y variables sobre ventas</t>
        </is>
      </c>
      <c r="E6" s="26" t="inlineStr">
        <is>
          <t>Con el margen de contribución del 27,2%. Sin esto no se puede juzgar el contrato</t>
        </is>
      </c>
    </row>
    <row r="7">
      <c r="A7" s="24" t="inlineStr">
        <is>
          <t>La línea de comprobación del EBITDA</t>
        </is>
      </c>
      <c r="E7" s="26" t="inlineStr">
        <is>
          <t>Diferencia cero con el Anexo 1: hace la reordenación indiscutible</t>
        </is>
      </c>
    </row>
    <row r="8">
      <c r="A8" s="24" t="inlineStr">
        <is>
          <t>Punto de equilibrio y margen de seguridad</t>
        </is>
      </c>
      <c r="E8" s="26" t="inlineStr">
        <is>
          <t>3.214.115 € y 29,9%. Demuestra que la empresa está sana HOY</t>
        </is>
      </c>
    </row>
    <row r="9">
      <c r="A9" s="24" t="inlineStr">
        <is>
          <t>Efecto de Persán sobre el punto de equilibrio</t>
        </is>
      </c>
      <c r="E9" s="26" t="inlineStr">
        <is>
          <t>Sube casi 400.000 € por los 108.000 € de costes fijos adicionales</t>
        </is>
      </c>
    </row>
    <row r="11">
      <c r="A11" s="3" t="inlineStr">
        <is>
          <t>ANEXO 2 — ANÁLISIS ECONÓMICO DEL CONTRATO PERSÁN</t>
        </is>
      </c>
      <c r="B11" s="4" t="n"/>
      <c r="C11" s="4" t="n"/>
      <c r="D11" s="4" t="n"/>
      <c r="E11" s="42" t="inlineStr">
        <is>
          <t>1 carilla · EL CENTRAL</t>
        </is>
      </c>
    </row>
    <row r="12" ht="24" customHeight="1">
      <c r="A12" s="11" t="inlineStr">
        <is>
          <t>Qué incluir</t>
        </is>
      </c>
      <c r="B12" s="12" t="inlineStr"/>
      <c r="C12" s="12" t="inlineStr"/>
      <c r="D12" s="12" t="inlineStr"/>
      <c r="E12" s="12" t="inlineStr">
        <is>
          <t>Por qué</t>
        </is>
      </c>
    </row>
    <row r="13">
      <c r="A13" s="24" t="inlineStr">
        <is>
          <t>Escandallo comparado: nuevo, usado y Persán</t>
        </is>
      </c>
      <c r="E13" s="26" t="inlineStr">
        <is>
          <t>El margen de −0,52 €/palet sale del propio Anexo 3 del caso</t>
        </is>
      </c>
    </row>
    <row r="14">
      <c r="A14" s="24" t="inlineStr">
        <is>
          <t>Margen sin mano de obra: −0,10 €/palet</t>
        </is>
      </c>
      <c r="E14" s="26" t="inlineStr">
        <is>
          <t>EL ARGUMENTO DEFINITIVO: aunque el operario fuese gratis, el contrato pierde</t>
        </is>
      </c>
    </row>
    <row r="15">
      <c r="A15" s="24" t="inlineStr">
        <is>
          <t>Cuenta de resultados incremental completa</t>
        </is>
      </c>
      <c r="E15" s="26" t="inlineStr">
        <is>
          <t>Del margen al impacto anual de −188.877 €, con campa, leasing y circulante</t>
        </is>
      </c>
    </row>
    <row r="16">
      <c r="A16" s="24" t="inlineStr">
        <is>
          <t>Los cuatro niveles de precio de equilibrio</t>
        </is>
      </c>
      <c r="E16" s="26" t="inlineStr">
        <is>
          <t>Y el resultado: 12,17 €, frente a los 10 € ofrecidos</t>
        </is>
      </c>
    </row>
    <row r="17">
      <c r="A17" s="24" t="inlineStr">
        <is>
          <t>Tabla de escenarios de negociación</t>
        </is>
      </c>
      <c r="E17" s="26" t="inlineStr">
        <is>
          <t>Demuestra que ninguna palanca por separado salva el contrato</t>
        </is>
      </c>
    </row>
    <row r="19">
      <c r="A19" s="3" t="inlineStr">
        <is>
          <t>ANEXO 3 — CAPACIDAD PRODUCTIVA</t>
        </is>
      </c>
      <c r="B19" s="4" t="n"/>
      <c r="C19" s="4" t="n"/>
      <c r="D19" s="4" t="n"/>
      <c r="E19" s="42" t="inlineStr">
        <is>
          <t>½ carilla</t>
        </is>
      </c>
    </row>
    <row r="20" ht="24" customHeight="1">
      <c r="A20" s="11" t="inlineStr">
        <is>
          <t>Qué incluir</t>
        </is>
      </c>
      <c r="B20" s="12" t="inlineStr"/>
      <c r="C20" s="12" t="inlineStr"/>
      <c r="D20" s="12" t="inlineStr"/>
      <c r="E20" s="12" t="inlineStr">
        <is>
          <t>Por qué</t>
        </is>
      </c>
    </row>
    <row r="21">
      <c r="A21" s="24" t="inlineStr">
        <is>
          <t>Capacidad anual de los tres sistemas</t>
        </is>
      </c>
      <c r="E21" s="26" t="inlineStr">
        <is>
          <t>Con el cálculo a la vista: 242 días productivos según la nota final del Anexo 3</t>
        </is>
      </c>
    </row>
    <row r="22">
      <c r="A22" s="24" t="inlineStr">
        <is>
          <t>Grado de utilización actual: 81%</t>
        </is>
      </c>
      <c r="E22" s="26" t="inlineStr">
        <is>
          <t>Desmonta el «no llegamos». Hay 40.876 palets de holgura sin invertir un euro</t>
        </is>
      </c>
    </row>
    <row r="23">
      <c r="A23" s="24" t="inlineStr">
        <is>
          <t>Encaje de Persán con y sin robot</t>
        </is>
      </c>
      <c r="E23" s="26" t="inlineStr">
        <is>
          <t>Sin máquina faltan 49.124 palets: si se firma, hace falta capacidad sí o sí</t>
        </is>
      </c>
    </row>
    <row r="24">
      <c r="A24" s="24" t="inlineStr">
        <is>
          <t>Recorrido de la línea de palet usado</t>
        </is>
      </c>
      <c r="E24" s="26" t="inlineStr">
        <is>
          <t>99.670 unidades bloqueadas por ESPACIO, no por demanda. La campa que se alquilaría para el retén de Persán desbloquearía una línea que sí gana dinero</t>
        </is>
      </c>
    </row>
    <row r="26">
      <c r="A26" s="3" t="inlineStr">
        <is>
          <t>ANEXO 4 — ESCENARIOS Y TÉRMINOS DE LA RENEGOCIACIÓN</t>
        </is>
      </c>
      <c r="B26" s="4" t="n"/>
      <c r="C26" s="4" t="n"/>
      <c r="D26" s="4" t="n"/>
      <c r="E26" s="42" t="inlineStr">
        <is>
          <t>1 carilla</t>
        </is>
      </c>
    </row>
    <row r="27" ht="24" customHeight="1">
      <c r="A27" s="11" t="inlineStr">
        <is>
          <t>Qué incluir</t>
        </is>
      </c>
      <c r="B27" s="12" t="inlineStr"/>
      <c r="C27" s="12" t="inlineStr"/>
      <c r="D27" s="12" t="inlineStr"/>
      <c r="E27" s="12" t="inlineStr">
        <is>
          <t>Por qué</t>
        </is>
      </c>
    </row>
    <row r="28">
      <c r="A28" s="24" t="inlineStr">
        <is>
          <t>Tabla comparativa de las cinco opciones</t>
        </is>
      </c>
      <c r="E28" s="26" t="inlineStr">
        <is>
          <t>Impacto anual, resultado proyectado y caja del primer año</t>
        </is>
      </c>
    </row>
    <row r="29">
      <c r="A29" s="24" t="inlineStr">
        <is>
          <t>Cumplimiento de las restricciones del caso</t>
        </is>
      </c>
      <c r="E29" s="26" t="inlineStr">
        <is>
          <t>Sin despidos, turno único, crecimiento y seguridad de los fundadores</t>
        </is>
      </c>
    </row>
    <row r="30">
      <c r="A30" s="24" t="inlineStr">
        <is>
          <t>Análisis de la inversión de la máquina</t>
        </is>
      </c>
      <c r="E30" s="26" t="inlineStr">
        <is>
          <t>40.000 €, leasing de 9.618 €/año sin el tráiler, recuperación en menos de 3 meses</t>
        </is>
      </c>
    </row>
    <row r="31">
      <c r="A31" s="24" t="inlineStr">
        <is>
          <t>Los términos del contrato ideal</t>
        </is>
      </c>
      <c r="E31" s="26" t="inlineStr">
        <is>
          <t>Las tres palancas con su objetivo y la cláusula de revisión de la madera. Responde al criterio 8 de evaluación: creatividad para generar alternativas</t>
        </is>
      </c>
    </row>
    <row r="33">
      <c r="A33" s="3" t="inlineStr">
        <is>
          <t>QUÉ DEJARÍA FUERA, Y POR QUÉ</t>
        </is>
      </c>
      <c r="B33" s="4" t="n"/>
      <c r="C33" s="4" t="n"/>
      <c r="D33" s="4" t="n"/>
      <c r="E33" s="4" t="n"/>
    </row>
    <row r="34" ht="31" customHeight="1">
      <c r="A34" s="32" t="inlineStr">
        <is>
          <t>• La reconciliación entre el Anexo 1 y el Anexo 3 (288 € de desviación sobre 2,7 millones). Imprescindible haberla hecho, pero es control interno: una frase en el cuerpo del informe y guardada para el turno de preguntas.</t>
        </is>
      </c>
    </row>
    <row r="35" ht="31" customHeight="1">
      <c r="A35" s="32" t="inlineStr">
        <is>
          <t>• El endeudamiento implícito (587.280 €, que pasaría de 1,30x a 4,13x EBITDA). Buen argumento, pero cabe en dos líneas del cuerpo.</t>
        </is>
      </c>
    </row>
    <row r="36" ht="31" customHeight="1">
      <c r="A36" s="32" t="inlineStr">
        <is>
          <t>• El coste por camión (134.109 € frente a los 47.700 € que asigna el Anexo 3). Es una inferencia propia, no un dato del caso: mejor para la defensa oral.</t>
        </is>
      </c>
    </row>
    <row r="37" ht="31" customHeight="1">
      <c r="A37" s="32" t="inlineStr">
        <is>
          <t>• El análisis del Anexo 2 por líneas de negocio. Sus conclusiones caben en tres filas dentro del cuerpo: no merece un anexo propio.</t>
        </is>
      </c>
    </row>
    <row r="38" ht="31" customHeight="1">
      <c r="A38" s="32" t="inlineStr">
        <is>
          <t>• Los escenarios de rendimiento de la máquina al 85%, 80% y 75%. La nota 1 del caso manda calcular sobre 90.000 unidades; el matiz va en una línea, no en un anexo.</t>
        </is>
      </c>
    </row>
  </sheetData>
  <mergeCells count="6">
    <mergeCell ref="A34:E34"/>
    <mergeCell ref="A35:E35"/>
    <mergeCell ref="A38:E38"/>
    <mergeCell ref="A2:E2"/>
    <mergeCell ref="A37:E37"/>
    <mergeCell ref="A36:E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2026-08-26T10:12:20Z</dcterms:created>
  <dcterms:modified xsi:type="dcterms:W3CDTF">2026-08-26T10:12:20Z</dcterms:modified>
</cp:coreProperties>
</file>