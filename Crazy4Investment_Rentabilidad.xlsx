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Léeme y método" sheetId="1" state="visible" r:id="rId1"/>
    <sheet name="1. Rentab. por cohorte" sheetId="2" state="visible" r:id="rId2"/>
    <sheet name="2. Empresas identificadas" sheetId="3" state="visible" r:id="rId3"/>
    <sheet name="3. Resumen y objetivo x10" sheetId="4" state="visible" r:id="rId4"/>
    <sheet name="4. Capacidad y dedicac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;-"/>
    <numFmt numFmtId="165" formatCode="#,##0 &quot;€&quot;;(#,##0 &quot;€&quot;);-"/>
    <numFmt numFmtId="166" formatCode="0.00&quot;x&quot;"/>
    <numFmt numFmtId="167" formatCode="0.0%;(0.0%);-"/>
    <numFmt numFmtId="168" formatCode="0.0"/>
    <numFmt numFmtId="169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1F3864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F00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7" fillId="0" borderId="1" pivotButton="0" quotePrefix="0" xfId="0"/>
    <xf numFmtId="165" fontId="5" fillId="0" borderId="1" pivotButton="0" quotePrefix="0" xfId="0"/>
    <xf numFmtId="166" fontId="5" fillId="0" borderId="1" pivotButton="0" quotePrefix="0" xfId="0"/>
    <xf numFmtId="167" fontId="5" fillId="0" borderId="1" pivotButton="0" quotePrefix="0" xfId="0"/>
    <xf numFmtId="168" fontId="7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pivotButton="0" quotePrefix="0" xfId="0"/>
    <xf numFmtId="165" fontId="4" fillId="4" borderId="1" pivotButton="0" quotePrefix="0" xfId="0"/>
    <xf numFmtId="166" fontId="4" fillId="4" borderId="1" pivotButton="0" quotePrefix="0" xfId="0"/>
    <xf numFmtId="167" fontId="4" fillId="4" borderId="1" pivotButton="0" quotePrefix="0" xfId="0"/>
    <xf numFmtId="168" fontId="4" fillId="4" borderId="1" pivotButton="0" quotePrefix="0" xfId="0"/>
    <xf numFmtId="0" fontId="2" fillId="0" borderId="0" applyAlignment="1" pivotButton="0" quotePrefix="0" xfId="0">
      <alignment horizontal="left" vertical="center" wrapText="1"/>
    </xf>
    <xf numFmtId="165" fontId="4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7" fontId="7" fillId="5" borderId="1" pivotButton="0" quotePrefix="0" xfId="0"/>
    <xf numFmtId="0" fontId="5" fillId="5" borderId="1" applyAlignment="1" pivotButton="0" quotePrefix="0" xfId="0">
      <alignment horizontal="center" vertical="center" wrapText="1"/>
    </xf>
    <xf numFmtId="167" fontId="7" fillId="0" borderId="1" pivotButton="0" quotePrefix="0" xfId="0"/>
    <xf numFmtId="165" fontId="8" fillId="0" borderId="1" pivotButton="0" quotePrefix="0" xfId="0"/>
    <xf numFmtId="164" fontId="8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164" fontId="7" fillId="0" borderId="1" pivotButton="0" quotePrefix="0" xfId="0"/>
    <xf numFmtId="166" fontId="7" fillId="0" borderId="1" pivotButton="0" quotePrefix="0" xfId="0"/>
    <xf numFmtId="0" fontId="0" fillId="0" borderId="4" pivotButton="0" quotePrefix="0" xfId="0"/>
    <xf numFmtId="168" fontId="7" fillId="5" borderId="1" applyAlignment="1" pivotButton="0" quotePrefix="0" xfId="0">
      <alignment horizontal="center" vertical="center" wrapText="1"/>
    </xf>
    <xf numFmtId="169" fontId="5" fillId="0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4" borderId="1" pivotButton="0" quotePrefix="0" xfId="0"/>
    <xf numFmtId="169" fontId="4" fillId="4" borderId="1" pivotButton="0" quotePrefix="0" xfId="0"/>
    <xf numFmtId="0" fontId="2" fillId="4" borderId="1" pivotButton="0" quotePrefix="0" xfId="0"/>
    <xf numFmtId="169" fontId="4" fillId="0" borderId="1" pivotButton="0" quotePrefix="0" xfId="0"/>
    <xf numFmtId="169" fontId="8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46" customWidth="1" min="2" max="2"/>
    <col width="78" customWidth="1" min="3" max="3"/>
  </cols>
  <sheetData>
    <row r="2">
      <c r="B2" s="1" t="inlineStr">
        <is>
          <t>CRAZY4INVESTMENT (DGI-344) — Modelo de rentabilidad de la cartera</t>
        </is>
      </c>
    </row>
    <row r="3">
      <c r="B3" s="2" t="inlineStr">
        <is>
          <t>Caso San Telmo Business School · Cierre del caso: septiembre de 2018 · Programa Lydes 2026</t>
        </is>
      </c>
    </row>
    <row r="4">
      <c r="B4" s="3" t="inlineStr">
        <is>
          <t>GUÍA DE LECTURA</t>
        </is>
      </c>
    </row>
    <row r="5" ht="46" customHeight="1">
      <c r="B5" s="4" t="inlineStr">
        <is>
          <t>Propósito</t>
        </is>
      </c>
      <c r="C5" s="5" t="inlineStr">
        <is>
          <t>Cuantificar la rentabilidad que aporta cada inversión de Tom Horsey y Macarena González, contrastar la rentabilidad declarada ("debe rondar el 300%") con la que se deduce de los datos del caso, y medir la distancia al objetivo de multiplicar por 10 el capital invertido.</t>
        </is>
      </c>
    </row>
    <row r="6" ht="46" customHeight="1">
      <c r="B6" s="4" t="inlineStr">
        <is>
          <t>Limitación esencial del caso</t>
        </is>
      </c>
      <c r="C6" s="5" t="inlineStr">
        <is>
          <t>El caso NO publica la cuenta de resultados ni la valoración individual de las 40 participadas. El Anexo 2 sólo desagrega por AÑO DE INVERSIÓN (cohorte). Por eso la Hoja 1 calcula la rentabilidad por cohorte (dato duro) y la Hoja 2 recoge, empresa a empresa, únicamente lo que el propio caso cita de forma explícita, separando dato de estimación.</t>
        </is>
      </c>
    </row>
    <row r="7" ht="46" customHeight="1">
      <c r="B7" s="4" t="inlineStr">
        <is>
          <t>Convenio de colores</t>
        </is>
      </c>
      <c r="C7" s="5" t="inlineStr">
        <is>
          <t>AZUL = dato tomado literalmente del caso (input). NEGRO = fórmula calculada. VERDE = enlace a otra hoja. AMARILLO = hipótesis del analista o celda a completar.</t>
        </is>
      </c>
    </row>
    <row r="8" ht="46" customHeight="1">
      <c r="B8" s="4" t="inlineStr">
        <is>
          <t>Hipótesis 1 — % de participación implícito</t>
        </is>
      </c>
      <c r="C8" s="5" t="inlineStr">
        <is>
          <t>% implícito = Inversión realizada ÷ Valoración inicial agregada de la cohorte. Supone entrada post-money y ausencia de dilución posterior. Es la única vía posible con los datos publicados.</t>
        </is>
      </c>
    </row>
    <row r="9" ht="46" customHeight="1">
      <c r="B9" s="4" t="inlineStr">
        <is>
          <t>Hipótesis 2 — Valor actual de la participación</t>
        </is>
      </c>
      <c r="C9" s="5" t="inlineStr">
        <is>
          <t>Valor sep-2018 = % implícito × Valoración estimada sep-2018 de la cohorte. Valoración de mercado teórica, NO realizada: sólo se convierte en caja con el exit.</t>
        </is>
      </c>
    </row>
    <row r="10" ht="46" customHeight="1">
      <c r="B10" s="4" t="inlineStr">
        <is>
          <t>Hipótesis 3 — Años transcurridos</t>
        </is>
      </c>
      <c r="C10" s="5" t="inlineStr">
        <is>
          <t>Se mide desde el año de inversión hasta sep-2018 (la cohorte 2018 se computa a 0,5 años). La TIR es, por tanto, una TIR sobre valor latente, no sobre caja cobrada.</t>
        </is>
      </c>
    </row>
    <row r="11" ht="46" customHeight="1">
      <c r="B11" s="4" t="inlineStr">
        <is>
          <t>Fuentes</t>
        </is>
      </c>
      <c r="C11" s="5" t="inlineStr">
        <is>
          <t>Anexo 2 (resumen económico de las inversiones), texto del caso (pp. 1-14) y entrevista con Tom y Macarena. Cada cifra en azul lleva la referencia en la columna "Fuente" de su hoja.</t>
        </is>
      </c>
    </row>
    <row r="12" ht="46" customHeight="1">
      <c r="B12" s="4" t="inlineStr">
        <is>
          <t>Advertencia metodológica</t>
        </is>
      </c>
      <c r="C12" s="5" t="inlineStr">
        <is>
          <t>Las cifras del propio caso no cuadran entre sí (ver conciliación en la Hoja 1 y en la Hoja 3). Esa incoherencia no es un error del modelo: es, en sí misma, uno de los hallazgos del análisis y sustenta el problema de fondo (ausencia de control de gestión de la cartera).</t>
        </is>
      </c>
    </row>
    <row r="14">
      <c r="B14" s="3" t="inlineStr">
        <is>
          <t>ÍNDICE DE HOJAS</t>
        </is>
      </c>
    </row>
    <row r="15" ht="32" customHeight="1">
      <c r="B15" s="4" t="inlineStr">
        <is>
          <t>Hoja 1. Rentabilidad por cohorte</t>
        </is>
      </c>
      <c r="C15" s="5" t="inlineStr">
        <is>
          <t>Rentabilidad de cada añada de inversión: múltiplo, plusvalía latente y TIR. Incluye la conciliación con la valoración de cartera declarada.</t>
        </is>
      </c>
    </row>
    <row r="16" ht="32" customHeight="1">
      <c r="B16" s="4" t="inlineStr">
        <is>
          <t>Hoja 2. Empresas identificadas</t>
        </is>
      </c>
      <c r="C16" s="5" t="inlineStr">
        <is>
          <t>Ficha de rentabilidad de las empresas citadas por su nombre en el caso (MOX, Museo, Agilia, Eliport, Froggie, la participada fallida, Oso Polar...).</t>
        </is>
      </c>
    </row>
    <row r="17" ht="32" customHeight="1">
      <c r="B17" s="4" t="inlineStr">
        <is>
          <t>Hoja 3. Resumen y objetivo x10</t>
        </is>
      </c>
      <c r="C17" s="5" t="inlineStr">
        <is>
          <t>Cuadro de mando: capital invertido, valor latente, rentabilidad realizada frente a declarada y brecha hasta el objetivo de x10.</t>
        </is>
      </c>
    </row>
    <row r="18" ht="32" customHeight="1">
      <c r="B18" s="4" t="inlineStr">
        <is>
          <t>Hoja 4. Capacidad y dedicación</t>
        </is>
      </c>
      <c r="C18" s="5" t="inlineStr">
        <is>
          <t>Coste en horas del modelo actual: 75 oportunidades al mes, 10 consejos y 20 startups en seguimiento frente a la capacidad real de dos personas.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4" customWidth="1" min="3" max="3"/>
    <col width="13" customWidth="1" min="4" max="4"/>
    <col width="40" customWidth="1" min="5" max="5"/>
    <col width="17" customWidth="1" min="6" max="6"/>
    <col width="12" customWidth="1" min="7" max="7"/>
    <col width="13" customWidth="1" min="8" max="8"/>
    <col width="17" customWidth="1" min="9" max="9"/>
    <col width="14" customWidth="1" min="10" max="10"/>
    <col width="13" customWidth="1" min="11" max="11"/>
    <col width="11" customWidth="1" min="12" max="12"/>
    <col width="12" customWidth="1" min="13" max="13"/>
  </cols>
  <sheetData>
    <row r="1">
      <c r="A1" s="1" t="inlineStr">
        <is>
          <t>HOJA 1 · RENTABILIDAD POR AÑADA (COHORTE) DE INVERSIÓN</t>
        </is>
      </c>
    </row>
    <row r="2">
      <c r="A2" s="2" t="inlineStr">
        <is>
          <t>Fuente: Anexo 2 del caso, «Resumen económico de las inversiones realizadas». Cifras en azul = literales del Anexo 2.</t>
        </is>
      </c>
    </row>
    <row r="4" ht="34" customHeight="1">
      <c r="A4" s="6" t="inlineStr">
        <is>
          <t>Año de inversión</t>
        </is>
      </c>
      <c r="B4" s="6" t="inlineStr">
        <is>
          <t>Nº de empresas</t>
        </is>
      </c>
      <c r="C4" s="6" t="inlineStr">
        <is>
          <t>Inversión realizada (€)</t>
        </is>
      </c>
      <c r="D4" s="6" t="inlineStr">
        <is>
          <t>Ticket medio (€)</t>
        </is>
      </c>
      <c r="E4" s="6" t="inlineStr">
        <is>
          <t>Valoración inicial agregada (€)</t>
        </is>
      </c>
      <c r="F4" s="6" t="inlineStr">
        <is>
          <t>Valoración estimada sep-2018 (€)</t>
        </is>
      </c>
      <c r="G4" s="6" t="inlineStr">
        <is>
          <t>Múltiplo de valoración</t>
        </is>
      </c>
      <c r="H4" s="6" t="inlineStr">
        <is>
          <t>% participación implícito</t>
        </is>
      </c>
      <c r="I4" s="6" t="inlineStr">
        <is>
          <t>Valor de la participación sep-2018 (€)</t>
        </is>
      </c>
      <c r="J4" s="6" t="inlineStr">
        <is>
          <t>Plusvalía latente (€)</t>
        </is>
      </c>
      <c r="K4" s="6" t="inlineStr">
        <is>
          <t>Múltiplo sobre capital invertido</t>
        </is>
      </c>
      <c r="L4" s="6" t="inlineStr">
        <is>
          <t>Años hasta sep-2018</t>
        </is>
      </c>
      <c r="M4" s="6" t="inlineStr">
        <is>
          <t>TIR anualizada latente</t>
        </is>
      </c>
    </row>
    <row r="5">
      <c r="A5" s="7" t="inlineStr">
        <is>
          <t>2010</t>
        </is>
      </c>
      <c r="B5" s="8" t="n">
        <v>1</v>
      </c>
      <c r="C5" s="9" t="n">
        <v>35000</v>
      </c>
      <c r="D5" s="10">
        <f>IFERROR(C5/B5,0)</f>
        <v/>
      </c>
      <c r="E5" s="9" t="n">
        <v>700000</v>
      </c>
      <c r="F5" s="9" t="n">
        <v>2400000</v>
      </c>
      <c r="G5" s="11">
        <f>IFERROR(F5/E5,0)</f>
        <v/>
      </c>
      <c r="H5" s="12">
        <f>IFERROR(C5/E5,0)</f>
        <v/>
      </c>
      <c r="I5" s="10">
        <f>H5*F5</f>
        <v/>
      </c>
      <c r="J5" s="10">
        <f>I5-C5</f>
        <v/>
      </c>
      <c r="K5" s="11">
        <f>IFERROR(I5/C5,0)</f>
        <v/>
      </c>
      <c r="L5" s="13" t="n">
        <v>8</v>
      </c>
      <c r="M5" s="12">
        <f>IFERROR(K5^(1/L5)-1,0)</f>
        <v/>
      </c>
    </row>
    <row r="6">
      <c r="A6" s="7" t="inlineStr">
        <is>
          <t>2014</t>
        </is>
      </c>
      <c r="B6" s="8" t="n">
        <v>1</v>
      </c>
      <c r="C6" s="9" t="n">
        <v>20000</v>
      </c>
      <c r="D6" s="10">
        <f>IFERROR(C6/B6,0)</f>
        <v/>
      </c>
      <c r="E6" s="9" t="n">
        <v>78000</v>
      </c>
      <c r="F6" s="9" t="n">
        <v>78000</v>
      </c>
      <c r="G6" s="11">
        <f>IFERROR(F6/E6,0)</f>
        <v/>
      </c>
      <c r="H6" s="12">
        <f>IFERROR(C6/E6,0)</f>
        <v/>
      </c>
      <c r="I6" s="10">
        <f>H6*F6</f>
        <v/>
      </c>
      <c r="J6" s="10">
        <f>I6-C6</f>
        <v/>
      </c>
      <c r="K6" s="11">
        <f>IFERROR(I6/C6,0)</f>
        <v/>
      </c>
      <c r="L6" s="13" t="n">
        <v>4</v>
      </c>
      <c r="M6" s="12">
        <f>IFERROR(K6^(1/L6)-1,0)</f>
        <v/>
      </c>
    </row>
    <row r="7">
      <c r="A7" s="7" t="inlineStr">
        <is>
          <t>2015</t>
        </is>
      </c>
      <c r="B7" s="8" t="n">
        <v>6</v>
      </c>
      <c r="C7" s="9" t="n">
        <v>1124526</v>
      </c>
      <c r="D7" s="10">
        <f>IFERROR(C7/B7,0)</f>
        <v/>
      </c>
      <c r="E7" s="9" t="n">
        <v>2890000</v>
      </c>
      <c r="F7" s="9" t="n">
        <v>7700000</v>
      </c>
      <c r="G7" s="11">
        <f>IFERROR(F7/E7,0)</f>
        <v/>
      </c>
      <c r="H7" s="12">
        <f>IFERROR(C7/E7,0)</f>
        <v/>
      </c>
      <c r="I7" s="10">
        <f>H7*F7</f>
        <v/>
      </c>
      <c r="J7" s="10">
        <f>I7-C7</f>
        <v/>
      </c>
      <c r="K7" s="11">
        <f>IFERROR(I7/C7,0)</f>
        <v/>
      </c>
      <c r="L7" s="13" t="n">
        <v>3</v>
      </c>
      <c r="M7" s="12">
        <f>IFERROR(K7^(1/L7)-1,0)</f>
        <v/>
      </c>
    </row>
    <row r="8">
      <c r="A8" s="7" t="inlineStr">
        <is>
          <t>2016</t>
        </is>
      </c>
      <c r="B8" s="8" t="n">
        <v>3</v>
      </c>
      <c r="C8" s="9" t="n">
        <v>300000</v>
      </c>
      <c r="D8" s="10">
        <f>IFERROR(C8/B8,0)</f>
        <v/>
      </c>
      <c r="E8" s="9" t="n">
        <v>1750000</v>
      </c>
      <c r="F8" s="9" t="n">
        <v>2500000</v>
      </c>
      <c r="G8" s="11">
        <f>IFERROR(F8/E8,0)</f>
        <v/>
      </c>
      <c r="H8" s="12">
        <f>IFERROR(C8/E8,0)</f>
        <v/>
      </c>
      <c r="I8" s="10">
        <f>H8*F8</f>
        <v/>
      </c>
      <c r="J8" s="10">
        <f>I8-C8</f>
        <v/>
      </c>
      <c r="K8" s="11">
        <f>IFERROR(I8/C8,0)</f>
        <v/>
      </c>
      <c r="L8" s="13" t="n">
        <v>2</v>
      </c>
      <c r="M8" s="12">
        <f>IFERROR(K8^(1/L8)-1,0)</f>
        <v/>
      </c>
    </row>
    <row r="9">
      <c r="A9" s="7" t="inlineStr">
        <is>
          <t>2017</t>
        </is>
      </c>
      <c r="B9" s="8" t="n">
        <v>11</v>
      </c>
      <c r="C9" s="9" t="n">
        <v>343981</v>
      </c>
      <c r="D9" s="10">
        <f>IFERROR(C9/B9,0)</f>
        <v/>
      </c>
      <c r="E9" s="9" t="n">
        <v>9061000</v>
      </c>
      <c r="F9" s="9" t="n">
        <v>21350000</v>
      </c>
      <c r="G9" s="11">
        <f>IFERROR(F9/E9,0)</f>
        <v/>
      </c>
      <c r="H9" s="12">
        <f>IFERROR(C9/E9,0)</f>
        <v/>
      </c>
      <c r="I9" s="10">
        <f>H9*F9</f>
        <v/>
      </c>
      <c r="J9" s="10">
        <f>I9-C9</f>
        <v/>
      </c>
      <c r="K9" s="11">
        <f>IFERROR(I9/C9,0)</f>
        <v/>
      </c>
      <c r="L9" s="13" t="n">
        <v>1</v>
      </c>
      <c r="M9" s="12">
        <f>IFERROR(K9^(1/L9)-1,0)</f>
        <v/>
      </c>
    </row>
    <row r="10">
      <c r="A10" s="7" t="inlineStr">
        <is>
          <t>2018</t>
        </is>
      </c>
      <c r="B10" s="8" t="n">
        <v>13</v>
      </c>
      <c r="C10" s="9" t="n">
        <v>223420</v>
      </c>
      <c r="D10" s="10">
        <f>IFERROR(C10/B10,0)</f>
        <v/>
      </c>
      <c r="E10" s="9" t="n">
        <v>47539000</v>
      </c>
      <c r="F10" s="9" t="n">
        <v>54935000</v>
      </c>
      <c r="G10" s="11">
        <f>IFERROR(F10/E10,0)</f>
        <v/>
      </c>
      <c r="H10" s="12">
        <f>IFERROR(C10/E10,0)</f>
        <v/>
      </c>
      <c r="I10" s="10">
        <f>H10*F10</f>
        <v/>
      </c>
      <c r="J10" s="10">
        <f>I10-C10</f>
        <v/>
      </c>
      <c r="K10" s="11">
        <f>IFERROR(I10/C10,0)</f>
        <v/>
      </c>
      <c r="L10" s="13" t="n">
        <v>0.5</v>
      </c>
      <c r="M10" s="12">
        <f>IFERROR(K10^(1/L10)-1,0)</f>
        <v/>
      </c>
    </row>
    <row r="11">
      <c r="A11" s="14" t="inlineStr">
        <is>
          <t>TOTAL</t>
        </is>
      </c>
      <c r="B11" s="15">
        <f>SUM(B5:B10)</f>
        <v/>
      </c>
      <c r="C11" s="16">
        <f>SUM(C5:C10)</f>
        <v/>
      </c>
      <c r="D11" s="16">
        <f>IFERROR(C11/B11,0)</f>
        <v/>
      </c>
      <c r="E11" s="16">
        <f>SUM(E5:E10)</f>
        <v/>
      </c>
      <c r="F11" s="16">
        <f>SUM(F5:F10)</f>
        <v/>
      </c>
      <c r="G11" s="17">
        <f>IFERROR(F11/E11,0)</f>
        <v/>
      </c>
      <c r="H11" s="18">
        <f>IFERROR(C11/E11,0)</f>
        <v/>
      </c>
      <c r="I11" s="16">
        <f>SUM(I5:I10)</f>
        <v/>
      </c>
      <c r="J11" s="16">
        <f>SUM(J5:J10)</f>
        <v/>
      </c>
      <c r="K11" s="17">
        <f>IFERROR(I11/C11,0)</f>
        <v/>
      </c>
      <c r="L11" s="19" t="inlineStr"/>
      <c r="M11" s="18">
        <f>IFERROR(K11^(1/8)-1,0)</f>
        <v/>
      </c>
    </row>
    <row r="12">
      <c r="A12" s="20" t="inlineStr">
        <is>
          <t>Nota: el Anexo 2 suma 38 empresas y 2.046.927 € invertidos; el texto del caso habla de «unas 40 empresas» y «alrededor de 2.000.000 €».</t>
        </is>
      </c>
    </row>
    <row r="14">
      <c r="A14" s="3" t="inlineStr">
        <is>
          <t>CONCILIACIÓN CON LAS CIFRAS DECLARADAS POR TOM Y MACARENA</t>
        </is>
      </c>
    </row>
    <row r="15" ht="34" customHeight="1">
      <c r="A15" s="6" t="inlineStr">
        <is>
          <t>Concepto</t>
        </is>
      </c>
      <c r="B15" s="6" t="inlineStr">
        <is>
          <t>Importe / valor</t>
        </is>
      </c>
      <c r="C15" s="6" t="inlineStr">
        <is>
          <t>Múltiplo sobre capital</t>
        </is>
      </c>
      <c r="D15" s="6" t="inlineStr">
        <is>
          <t>Rentabilidad</t>
        </is>
      </c>
      <c r="E15" s="6" t="inlineStr">
        <is>
          <t>Fuente</t>
        </is>
      </c>
    </row>
    <row r="16" ht="26" customHeight="1">
      <c r="A16" s="5" t="inlineStr">
        <is>
          <t>Capital total invertido (Anexo 2)</t>
        </is>
      </c>
      <c r="B16" s="21">
        <f>C11</f>
        <v/>
      </c>
      <c r="E16" s="22" t="inlineStr">
        <is>
          <t>Anexo 2, columna «Inversión realizada»</t>
        </is>
      </c>
    </row>
    <row r="17" ht="26" customHeight="1">
      <c r="A17" s="23" t="inlineStr">
        <is>
          <t>(A) Valor de cartera DECLARADO en el caso</t>
        </is>
      </c>
      <c r="B17" s="9" t="n">
        <v>8295378</v>
      </c>
      <c r="C17" s="11">
        <f>IFERROR(B17/B16,0)</f>
        <v/>
      </c>
      <c r="E17" s="22" t="inlineStr">
        <is>
          <t>Anexo 2, «Valoración de la cartera» (≈ los «8 millones» de participadas del texto)</t>
        </is>
      </c>
    </row>
    <row r="18" ht="26" customHeight="1">
      <c r="A18" s="23" t="inlineStr">
        <is>
          <t>(B) Valor de cartera CALCULADO (pro-rata sin dilución)</t>
        </is>
      </c>
      <c r="B18" s="21">
        <f>I11</f>
        <v/>
      </c>
      <c r="C18" s="11">
        <f>IFERROR(B18/B16,0)</f>
        <v/>
      </c>
      <c r="E18" s="22" t="inlineStr">
        <is>
          <t>Cálculo del modelo: Σ (% implícito × valoración sep-2018)</t>
        </is>
      </c>
    </row>
    <row r="19" ht="26" customHeight="1">
      <c r="A19" s="5" t="inlineStr">
        <is>
          <t>Diferencia (A) − (B)</t>
        </is>
      </c>
      <c r="B19" s="21">
        <f>B17-B18</f>
        <v/>
      </c>
      <c r="E19" s="22" t="inlineStr">
        <is>
          <t>Brecha no explicada por los datos publicados</t>
        </is>
      </c>
    </row>
    <row r="20" ht="26" customHeight="1">
      <c r="A20" s="5" t="inlineStr">
        <is>
          <t>Rentabilidad global declarada por Tom («debe rondar el 300%»)</t>
        </is>
      </c>
      <c r="C20" s="11">
        <f>D20+1</f>
        <v/>
      </c>
      <c r="D20" s="24" t="n">
        <v>3</v>
      </c>
      <c r="E20" s="22" t="inlineStr">
        <is>
          <t>Entrevista, p. 10 del caso</t>
        </is>
      </c>
    </row>
    <row r="21" ht="26" customHeight="1">
      <c r="A21" s="5" t="inlineStr">
        <is>
          <t>Rentabilidad implícita en la valoración declarada (A)</t>
        </is>
      </c>
      <c r="C21" s="11">
        <f>C17</f>
        <v/>
      </c>
      <c r="D21" s="12">
        <f>IFERROR(B17/B16-1,0)</f>
        <v/>
      </c>
      <c r="E21" s="22">
        <f> (A) / capital invertido − 1</f>
        <v/>
      </c>
    </row>
    <row r="22" ht="26" customHeight="1">
      <c r="A22" s="5" t="inlineStr">
        <is>
          <t>Rentabilidad implícita en el cálculo del modelo (B)</t>
        </is>
      </c>
      <c r="C22" s="11">
        <f>C18</f>
        <v/>
      </c>
      <c r="D22" s="12">
        <f>IFERROR(B18/B16-1,0)</f>
        <v/>
      </c>
      <c r="E22" s="22">
        <f> (B) / capital invertido − 1</f>
        <v/>
      </c>
    </row>
    <row r="24">
      <c r="A24" s="20" t="inlineStr">
        <is>
          <t>LECTURA: la valoración de cartera que el caso declara (8.295.378 €) es coherente con el «300% de rentabilidad» que afirma Tom, pero NO se reconstruye a partir de las valoraciones del propio Anexo 2, que sólo soportan unos 4,6 M€ (≈2,3x). Toda esta rentabilidad, además, es LATENTE: los 5 exits realizados sólo han recuperado el capital invertido (uno de ellos, la recompra del fundador, a la misma valoración de entrada). Rentabilidad realizada ≈ 1,0x.</t>
        </is>
      </c>
    </row>
    <row r="25"/>
    <row r="26"/>
  </sheetData>
  <mergeCells count="3">
    <mergeCell ref="A14:E14"/>
    <mergeCell ref="A24:E26"/>
    <mergeCell ref="A12:M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17" customWidth="1" min="4" max="4"/>
    <col width="20" customWidth="1" min="5" max="5"/>
    <col width="40" customWidth="1" min="6" max="6"/>
    <col width="10" customWidth="1" min="7" max="7"/>
    <col width="17" customWidth="1" min="8" max="8"/>
    <col width="16" customWidth="1" min="9" max="9"/>
    <col width="9" customWidth="1" min="10" max="10"/>
    <col width="11" customWidth="1" min="11" max="11"/>
    <col width="40" customWidth="1" min="12" max="12"/>
  </cols>
  <sheetData>
    <row r="1">
      <c r="A1" s="1" t="inlineStr">
        <is>
          <t>HOJA 2 · RENTABILIDAD DE LAS EMPRESAS CITADAS EXPRESAMENTE EN EL CASO</t>
        </is>
      </c>
    </row>
    <row r="2">
      <c r="A2" s="2" t="inlineStr">
        <is>
          <t>El caso sólo aporta cifras individuales de estas empresas. En amarillo, las celdas donde el dato no existe y se trabaja con hipótesis o escenarios.</t>
        </is>
      </c>
    </row>
    <row r="4" ht="34" customHeight="1">
      <c r="A4" s="6" t="inlineStr">
        <is>
          <t>Empresa</t>
        </is>
      </c>
      <c r="B4" s="6" t="inlineStr">
        <is>
          <t>Año</t>
        </is>
      </c>
      <c r="C4" s="6" t="inlineStr">
        <is>
          <t>Encaje en el grupo</t>
        </is>
      </c>
      <c r="D4" s="6" t="inlineStr">
        <is>
          <t>Actividad</t>
        </is>
      </c>
      <c r="E4" s="6" t="inlineStr">
        <is>
          <t>Inversión (€)</t>
        </is>
      </c>
      <c r="F4" s="6" t="inlineStr">
        <is>
          <t>Valoración de entrada (€)</t>
        </is>
      </c>
      <c r="G4" s="6" t="inlineStr">
        <is>
          <t>% implícito</t>
        </is>
      </c>
      <c r="H4" s="6" t="inlineStr">
        <is>
          <t>Valoración de referencia sep-2018 (€)</t>
        </is>
      </c>
      <c r="I4" s="6" t="inlineStr">
        <is>
          <t>Valor de la participación (€)</t>
        </is>
      </c>
      <c r="J4" s="6" t="inlineStr">
        <is>
          <t>Múltiplo</t>
        </is>
      </c>
      <c r="K4" s="6" t="inlineStr">
        <is>
          <t>Rentabilidad</t>
        </is>
      </c>
      <c r="L4" s="6" t="inlineStr">
        <is>
          <t>Fuente en el caso</t>
        </is>
      </c>
    </row>
    <row r="5" ht="40" customHeight="1">
      <c r="A5" s="23" t="inlineStr">
        <is>
          <t>Museo (Barcelona)</t>
        </is>
      </c>
      <c r="B5" s="7" t="inlineStr">
        <is>
          <t>2010</t>
        </is>
      </c>
      <c r="C5" s="5" t="inlineStr">
        <is>
          <t>Participada</t>
        </is>
      </c>
      <c r="D5" s="5" t="inlineStr">
        <is>
          <t>Museo; factura &gt;1 M€/año con buen margen</t>
        </is>
      </c>
      <c r="E5" s="9" t="n">
        <v>35000</v>
      </c>
      <c r="F5" s="9" t="n">
        <v>700000</v>
      </c>
      <c r="G5" s="12">
        <f>IFERROR(E5/F5,"n.d.")</f>
        <v/>
      </c>
      <c r="H5" s="9" t="n">
        <v>2400000</v>
      </c>
      <c r="I5" s="10">
        <f>IFERROR(G5*H5,"n.d.")</f>
        <v/>
      </c>
      <c r="J5" s="11">
        <f>IFERROR(I5/E5,"n.d.")</f>
        <v/>
      </c>
      <c r="K5" s="12">
        <f>IFERROR(I5/E5-1,"n.d.")</f>
        <v/>
      </c>
      <c r="L5" s="22" t="inlineStr">
        <is>
          <t>Anexo 2 (fila 2010) y entrevista p. 10. Ojo: el texto también cita «45.000 € por el 50%» (incoherencia del caso).</t>
        </is>
      </c>
    </row>
    <row r="6" ht="40" customHeight="1">
      <c r="A6" s="23" t="inlineStr">
        <is>
          <t>Participada tecnológica fallida</t>
        </is>
      </c>
      <c r="B6" s="7" t="inlineStr">
        <is>
          <t>2014-15</t>
        </is>
      </c>
      <c r="C6" s="5" t="inlineStr">
        <is>
          <t>Participada</t>
        </is>
      </c>
      <c r="D6" s="5" t="inlineStr">
        <is>
          <t>Tecnología; nunca lanzó producto → concurso</t>
        </is>
      </c>
      <c r="E6" s="9" t="n">
        <v>250000</v>
      </c>
      <c r="F6" s="9" t="n">
        <v>250000</v>
      </c>
      <c r="G6" s="12">
        <f>IFERROR(E6/F6,"n.d.")</f>
        <v/>
      </c>
      <c r="H6" s="9" t="n">
        <v>0</v>
      </c>
      <c r="I6" s="10">
        <f>IFERROR(G6*H6,"n.d.")</f>
        <v/>
      </c>
      <c r="J6" s="11">
        <f>IFERROR(I6/E6,"n.d.")</f>
        <v/>
      </c>
      <c r="K6" s="12">
        <f>IFERROR(I6/E6-1,"n.d.")</f>
        <v/>
      </c>
      <c r="L6" s="22" t="inlineStr">
        <is>
          <t>Entrevista pp. 8-9: «Invertí un total de 250.000 € y lo perdí todo».</t>
        </is>
      </c>
    </row>
    <row r="7" ht="40" customHeight="1">
      <c r="A7" s="23" t="inlineStr">
        <is>
          <t>Agilia</t>
        </is>
      </c>
      <c r="B7" s="7" t="inlineStr">
        <is>
          <t>2015</t>
        </is>
      </c>
      <c r="C7" s="5" t="inlineStr">
        <is>
          <t>Empresa del grupo (100%)</t>
        </is>
      </c>
      <c r="D7" s="5" t="inlineStr">
        <is>
          <t>Desarrollo de software: Blockchain e IA</t>
        </is>
      </c>
      <c r="E7" s="9" t="n">
        <v>250000</v>
      </c>
      <c r="F7" s="9" t="n">
        <v>250000</v>
      </c>
      <c r="G7" s="12">
        <f>IFERROR(E7/F7,"n.d.")</f>
        <v/>
      </c>
      <c r="H7" s="25" t="inlineStr">
        <is>
          <t>n.d.</t>
        </is>
      </c>
      <c r="I7" s="10">
        <f>IFERROR(G7*H7,"n.d.")</f>
        <v/>
      </c>
      <c r="J7" s="11">
        <f>IFERROR(I7/E7,"n.d.")</f>
        <v/>
      </c>
      <c r="K7" s="12">
        <f>IFERROR(I7/E7-1,"n.d.")</f>
        <v/>
      </c>
      <c r="L7" s="22" t="inlineStr">
        <is>
          <t>Entrevista p. 9 (compra al 100% por 250.000 €) y p. 11 (crece &gt;20% anual, +20 empleados).</t>
        </is>
      </c>
    </row>
    <row r="8" ht="40" customHeight="1">
      <c r="A8" s="23" t="inlineStr">
        <is>
          <t>MOX</t>
        </is>
      </c>
      <c r="B8" s="7" t="inlineStr">
        <is>
          <t>2016</t>
        </is>
      </c>
      <c r="C8" s="5" t="inlineStr">
        <is>
          <t>Participada 30% (de facto grupo)</t>
        </is>
      </c>
      <c r="D8" s="5" t="inlineStr">
        <is>
          <t>Logística de última milla; +300 empleados</t>
        </is>
      </c>
      <c r="E8" s="25" t="inlineStr">
        <is>
          <t>n.d.</t>
        </is>
      </c>
      <c r="F8" s="25" t="inlineStr">
        <is>
          <t>n.d.</t>
        </is>
      </c>
      <c r="G8" s="12">
        <f>IFERROR(E8/F8,"n.d.")</f>
        <v/>
      </c>
      <c r="H8" s="9" t="n">
        <v>10000000</v>
      </c>
      <c r="I8" s="10">
        <f>IFERROR(G8*H8,"n.d.")</f>
        <v/>
      </c>
      <c r="J8" s="11">
        <f>IFERROR(I8/E8,"n.d.")</f>
        <v/>
      </c>
      <c r="K8" s="12">
        <f>IFERROR(I8/E8-1,"n.d.")</f>
        <v/>
      </c>
      <c r="L8" s="22" t="inlineStr">
        <is>
          <t>Entrevista p. 11: ronda en curso a 10 M€, oferta rechazada por el 100% a 7,5 M€, Tom ostenta el 30%.</t>
        </is>
      </c>
    </row>
    <row r="9" ht="40" customHeight="1">
      <c r="A9" s="23" t="inlineStr">
        <is>
          <t>OpenWebinars</t>
        </is>
      </c>
      <c r="B9" s="7" t="inlineStr">
        <is>
          <t>2015-16</t>
        </is>
      </c>
      <c r="C9" s="5" t="inlineStr">
        <is>
          <t>Participada</t>
        </is>
      </c>
      <c r="D9" s="5" t="inlineStr">
        <is>
          <t>Formación online en tecnología (LatAm)</t>
        </is>
      </c>
      <c r="E9" s="25" t="inlineStr">
        <is>
          <t>n.d.</t>
        </is>
      </c>
      <c r="F9" s="25" t="inlineStr">
        <is>
          <t>n.d.</t>
        </is>
      </c>
      <c r="G9" s="12">
        <f>IFERROR(E9/F9,"n.d.")</f>
        <v/>
      </c>
      <c r="H9" s="25" t="inlineStr">
        <is>
          <t>n.d.</t>
        </is>
      </c>
      <c r="I9" s="10">
        <f>IFERROR(G9*H9,"n.d.")</f>
        <v/>
      </c>
      <c r="J9" s="11">
        <f>IFERROR(I9/E9,"n.d.")</f>
        <v/>
      </c>
      <c r="K9" s="12">
        <f>IFERROR(I9/E9-1,"n.d.")</f>
        <v/>
      </c>
      <c r="L9" s="22" t="inlineStr">
        <is>
          <t>Entrevista p. 11: «empresa de referencia en su sector», sin cifras publicadas.</t>
        </is>
      </c>
    </row>
    <row r="10" ht="40" customHeight="1">
      <c r="A10" s="23" t="inlineStr">
        <is>
          <t>Eliport</t>
        </is>
      </c>
      <c r="B10" s="7" t="inlineStr">
        <is>
          <t>2018</t>
        </is>
      </c>
      <c r="C10" s="5" t="inlineStr">
        <is>
          <t>Participada</t>
        </is>
      </c>
      <c r="D10" s="5" t="inlineStr">
        <is>
          <t>Robots logísticos autónomos</t>
        </is>
      </c>
      <c r="E10" s="25" t="inlineStr">
        <is>
          <t>n.d.</t>
        </is>
      </c>
      <c r="F10" s="9" t="n">
        <v>80000</v>
      </c>
      <c r="G10" s="12">
        <f>IFERROR(E10/F10,"n.d.")</f>
        <v/>
      </c>
      <c r="H10" s="9" t="n">
        <v>5000000</v>
      </c>
      <c r="I10" s="10">
        <f>IFERROR(G10*H10,"n.d.")</f>
        <v/>
      </c>
      <c r="J10" s="11">
        <f>IFERROR(I10/E10,"n.d.")</f>
        <v/>
      </c>
      <c r="K10" s="12">
        <f>IFERROR(I10/E10-1,"n.d.")</f>
        <v/>
      </c>
      <c r="L10" s="22" t="inlineStr">
        <is>
          <t>Entrevista p. 11: entrada sobre valoración de 80.000 €; 6 meses después levanta ronda a 5.000.000 €.</t>
        </is>
      </c>
    </row>
    <row r="11" ht="40" customHeight="1">
      <c r="A11" s="23" t="inlineStr">
        <is>
          <t>Exit por recompra del fundador</t>
        </is>
      </c>
      <c r="B11" s="7" t="inlineStr">
        <is>
          <t>n.d.</t>
        </is>
      </c>
      <c r="C11" s="5" t="inlineStr">
        <is>
          <t>Desinversión 100%</t>
        </is>
      </c>
      <c r="D11" s="5" t="inlineStr">
        <is>
          <t>Salida total: el fundador recompra</t>
        </is>
      </c>
      <c r="E11" s="25" t="inlineStr">
        <is>
          <t>n.d.</t>
        </is>
      </c>
      <c r="F11" s="25" t="inlineStr">
        <is>
          <t>n.d.</t>
        </is>
      </c>
      <c r="G11" s="12">
        <f>IFERROR(E11/F11,"n.d.")</f>
        <v/>
      </c>
      <c r="H11" s="25" t="inlineStr">
        <is>
          <t>n.d.</t>
        </is>
      </c>
      <c r="I11" s="10">
        <f>IFERROR(G11*H11,"n.d.")</f>
        <v/>
      </c>
      <c r="J11" s="11">
        <f>IFERROR(I11/E11,"n.d.")</f>
        <v/>
      </c>
      <c r="K11" s="12">
        <f>IFERROR(I11/E11-1,"n.d.")</f>
        <v/>
      </c>
      <c r="L11" s="22" t="inlineStr">
        <is>
          <t>Entrevista p. 10: recompra «con la misma valoración con la que entramos» → múltiplo 1,0x.</t>
        </is>
      </c>
    </row>
    <row r="12" ht="40" customHeight="1">
      <c r="A12" s="23" t="inlineStr">
        <is>
          <t>Froggie</t>
        </is>
      </c>
      <c r="B12" s="7" t="inlineStr">
        <is>
          <t>2001</t>
        </is>
      </c>
      <c r="C12" s="5" t="inlineStr">
        <is>
          <t>Empresa propia (matriz)</t>
        </is>
      </c>
      <c r="D12" s="5" t="inlineStr">
        <is>
          <t>Contenidos y suscripciones móviles</t>
        </is>
      </c>
      <c r="E12" s="25" t="inlineStr">
        <is>
          <t>n.d.</t>
        </is>
      </c>
      <c r="F12" s="25" t="inlineStr">
        <is>
          <t>n.d.</t>
        </is>
      </c>
      <c r="G12" s="12">
        <f>IFERROR(E12/F12,"n.d.")</f>
        <v/>
      </c>
      <c r="H12" s="25" t="inlineStr">
        <is>
          <t>n.d.</t>
        </is>
      </c>
      <c r="I12" s="10">
        <f>IFERROR(G12*H12,"n.d.")</f>
        <v/>
      </c>
      <c r="J12" s="11">
        <f>IFERROR(I12/E12,"n.d.")</f>
        <v/>
      </c>
      <c r="K12" s="12">
        <f>IFERROR(I12/E12-1,"n.d.")</f>
        <v/>
      </c>
      <c r="L12" s="22" t="inlineStr">
        <is>
          <t>Caso pp. 3-5: 6 M€ de facturación en 2007 → 3 M€ en 2017; 35 → 15 empleados; oferta de 7 M€ frustrada en 2008.</t>
        </is>
      </c>
    </row>
    <row r="13" ht="40" customHeight="1">
      <c r="A13" s="23" t="inlineStr">
        <is>
          <t>Tintorerías Oso Polar</t>
        </is>
      </c>
      <c r="B13" s="7" t="inlineStr">
        <is>
          <t>2012</t>
        </is>
      </c>
      <c r="C13" s="5" t="inlineStr">
        <is>
          <t>Empresa propia</t>
        </is>
      </c>
      <c r="D13" s="5" t="inlineStr">
        <is>
          <t>Tintorería por suscripción, 4 locales</t>
        </is>
      </c>
      <c r="E13" s="25" t="inlineStr">
        <is>
          <t>n.d.</t>
        </is>
      </c>
      <c r="F13" s="25" t="inlineStr">
        <is>
          <t>n.d.</t>
        </is>
      </c>
      <c r="G13" s="12">
        <f>IFERROR(E13/F13,"n.d.")</f>
        <v/>
      </c>
      <c r="H13" s="25" t="inlineStr">
        <is>
          <t>n.d.</t>
        </is>
      </c>
      <c r="I13" s="10">
        <f>IFERROR(G13*H13,"n.d.")</f>
        <v/>
      </c>
      <c r="J13" s="11">
        <f>IFERROR(I13/E13,"n.d.")</f>
        <v/>
      </c>
      <c r="K13" s="12">
        <f>IFERROR(I13/E13-1,"n.d.")</f>
        <v/>
      </c>
      <c r="L13" s="22" t="inlineStr">
        <is>
          <t>Caso p. 6: gestión deficiente del gerente; en negociación de venta.</t>
        </is>
      </c>
    </row>
    <row r="15">
      <c r="A15" s="20" t="inlineStr">
        <is>
          <t>MOX es la única participada con participación y valoración conocidas: 30% del capital. Su peso en el valor de la cartera es el riesgo de concentración del grupo.</t>
        </is>
      </c>
    </row>
    <row r="17">
      <c r="A17" s="3" t="inlineStr">
        <is>
          <t>ESCENARIOS DE VALOR DE MOX (participación de Tom: 30%)</t>
        </is>
      </c>
    </row>
    <row r="18" ht="34" customHeight="1">
      <c r="A18" s="6" t="inlineStr">
        <is>
          <t>Escenario</t>
        </is>
      </c>
      <c r="B18" s="6" t="inlineStr">
        <is>
          <t>Valoración de MOX (€)</t>
        </is>
      </c>
      <c r="C18" s="6" t="inlineStr">
        <is>
          <t>% de Tom</t>
        </is>
      </c>
      <c r="D18" s="6" t="inlineStr">
        <is>
          <t>Valor de la participación (€)</t>
        </is>
      </c>
      <c r="E18" s="6" t="inlineStr">
        <is>
          <t>% sobre el valor declarado de la cartera (8.295.378 €)</t>
        </is>
      </c>
      <c r="F18" s="6" t="inlineStr">
        <is>
          <t>Fuente</t>
        </is>
      </c>
    </row>
    <row r="19">
      <c r="A19" s="5" t="inlineStr">
        <is>
          <t>Oferta de compra del 100% RECHAZADA (2018)</t>
        </is>
      </c>
      <c r="B19" s="9" t="n">
        <v>7500000</v>
      </c>
      <c r="C19" s="26" t="n">
        <v>0.3</v>
      </c>
      <c r="D19" s="10">
        <f>B19*C19</f>
        <v/>
      </c>
      <c r="E19" s="12">
        <f>IFERROR(D19/8295378,0)</f>
        <v/>
      </c>
      <c r="F19" s="22" t="inlineStr">
        <is>
          <t>Entrevista p. 11</t>
        </is>
      </c>
    </row>
    <row r="20">
      <c r="A20" s="5" t="inlineStr">
        <is>
          <t>Ronda en curso a septiembre de 2018</t>
        </is>
      </c>
      <c r="B20" s="9" t="n">
        <v>10000000</v>
      </c>
      <c r="C20" s="26" t="n">
        <v>0.3</v>
      </c>
      <c r="D20" s="10">
        <f>B20*C20</f>
        <v/>
      </c>
      <c r="E20" s="12">
        <f>IFERROR(D20/8295378,0)</f>
        <v/>
      </c>
      <c r="F20" s="22" t="inlineStr">
        <is>
          <t>Entrevista p. 11</t>
        </is>
      </c>
    </row>
    <row r="21">
      <c r="A21" s="5" t="inlineStr">
        <is>
          <t>Objetivo declarado para la siguiente ronda</t>
        </is>
      </c>
      <c r="B21" s="9" t="n">
        <v>50000000</v>
      </c>
      <c r="C21" s="26" t="n">
        <v>0.3</v>
      </c>
      <c r="D21" s="10">
        <f>B21*C21</f>
        <v/>
      </c>
      <c r="E21" s="12">
        <f>IFERROR(D21/8295378,0)</f>
        <v/>
      </c>
      <c r="F21" s="22" t="inlineStr">
        <is>
          <t>Entrevista p. 11</t>
        </is>
      </c>
    </row>
    <row r="23">
      <c r="A23" s="20" t="inlineStr">
        <is>
          <t>LECTURA: con la ronda a 10 M€, la participación en MOX (3,0 M€) representa por sí sola más de un tercio del valor de toda la cartera de participadas. Rechazar la oferta de 7,5 M€ por el 100% equivale a mantener 2,25 M€ de valor cierto apostando a que la valoración se multiplique por cinco.</t>
        </is>
      </c>
    </row>
    <row r="24"/>
  </sheetData>
  <mergeCells count="1">
    <mergeCell ref="A23:F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62" customWidth="1" min="3" max="3"/>
  </cols>
  <sheetData>
    <row r="1">
      <c r="A1" s="1" t="inlineStr">
        <is>
          <t>HOJA 3 · CUADRO DE MANDO DE LA ACTIVIDAD INVERSORA (SEPTIEMBRE DE 2018)</t>
        </is>
      </c>
    </row>
    <row r="2">
      <c r="A2" s="2" t="inlineStr">
        <is>
          <t>Síntesis del rendimiento del grupo y distancia al objetivo declarado de multiplicar por diez el capital invertido.</t>
        </is>
      </c>
    </row>
    <row r="4" ht="34" customHeight="1">
      <c r="A4" s="6" t="inlineStr">
        <is>
          <t>Indicador</t>
        </is>
      </c>
      <c r="B4" s="6" t="inlineStr">
        <is>
          <t>Valor</t>
        </is>
      </c>
      <c r="C4" s="6" t="inlineStr">
        <is>
          <t>Cálculo / fuente</t>
        </is>
      </c>
    </row>
    <row r="5" ht="24" customHeight="1">
      <c r="A5" s="23" t="inlineStr">
        <is>
          <t>Capital total invertido en participadas</t>
        </is>
      </c>
      <c r="B5" s="27">
        <f>'1. Rentab. por cohorte'!C11</f>
        <v/>
      </c>
      <c r="C5" s="22" t="inlineStr">
        <is>
          <t>Hoja 1, total Anexo 2</t>
        </is>
      </c>
    </row>
    <row r="6" ht="24" customHeight="1">
      <c r="A6" s="23" t="inlineStr">
        <is>
          <t>Nº de empresas participadas (Anexo 2)</t>
        </is>
      </c>
      <c r="B6" s="28">
        <f>'1. Rentab. por cohorte'!B11</f>
        <v/>
      </c>
      <c r="C6" s="22" t="inlineStr">
        <is>
          <t>Hoja 1, total Anexo 2 (el texto cita «unas 40»)</t>
        </is>
      </c>
    </row>
    <row r="7" ht="24" customHeight="1">
      <c r="A7" s="23" t="inlineStr">
        <is>
          <t>Ticket medio por empresa</t>
        </is>
      </c>
      <c r="B7" s="27">
        <f>'1. Rentab. por cohorte'!D11</f>
        <v/>
      </c>
      <c r="C7" s="22" t="inlineStr">
        <is>
          <t>Capital invertido ÷ nº de empresas</t>
        </is>
      </c>
    </row>
    <row r="8" ht="24" customHeight="1">
      <c r="A8" s="23" t="inlineStr">
        <is>
          <t>Valor declarado de la cartera de participadas</t>
        </is>
      </c>
      <c r="B8" s="9" t="n">
        <v>8295378</v>
      </c>
      <c r="C8" s="22" t="inlineStr">
        <is>
          <t>Anexo 2, «Valoración de la cartera»</t>
        </is>
      </c>
    </row>
    <row r="9" ht="24" customHeight="1">
      <c r="A9" s="23" t="inlineStr">
        <is>
          <t>Valor de las empresas propias del grupo</t>
        </is>
      </c>
      <c r="B9" s="9" t="n">
        <v>7000000</v>
      </c>
      <c r="C9" s="22" t="inlineStr">
        <is>
          <t>Nota al pie 3 del caso: «7 millones»</t>
        </is>
      </c>
    </row>
    <row r="10" ht="24" customHeight="1">
      <c r="A10" s="23" t="inlineStr">
        <is>
          <t>Valor total del patrimonio empresarial</t>
        </is>
      </c>
      <c r="B10" s="21">
        <f>B8+B9</f>
        <v/>
      </c>
      <c r="C10" s="22" t="inlineStr">
        <is>
          <t>Suma de las dos líneas anteriores (los «15 millones» del caso)</t>
        </is>
      </c>
    </row>
    <row r="11" ht="24" customHeight="1">
      <c r="A11" s="23" t="inlineStr">
        <is>
          <t>Múltiplo latente sobre capital invertido</t>
        </is>
      </c>
      <c r="B11" s="29">
        <f>IFERROR(B8/B5,0)</f>
        <v/>
      </c>
      <c r="C11" s="22" t="inlineStr">
        <is>
          <t>Valor de cartera declarado ÷ capital invertido</t>
        </is>
      </c>
    </row>
    <row r="12" ht="24" customHeight="1">
      <c r="A12" s="23" t="inlineStr">
        <is>
          <t>Rentabilidad latente sobre capital invertido</t>
        </is>
      </c>
      <c r="B12" s="30">
        <f>B11-1</f>
        <v/>
      </c>
      <c r="C12" s="22" t="inlineStr">
        <is>
          <t>Múltiplo − 1 (Tom declara «alrededor del 300%»)</t>
        </is>
      </c>
    </row>
    <row r="13" ht="24" customHeight="1">
      <c r="A13" s="23" t="inlineStr">
        <is>
          <t>Objetivo declarado: x10 sobre el capital invertido</t>
        </is>
      </c>
      <c r="B13" s="21">
        <f>B5*10</f>
        <v/>
      </c>
      <c r="C13" s="22" t="inlineStr">
        <is>
          <t>Capital invertido × 10</t>
        </is>
      </c>
    </row>
    <row r="14" ht="24" customHeight="1">
      <c r="A14" s="23" t="inlineStr">
        <is>
          <t>Brecha hasta el objetivo x10</t>
        </is>
      </c>
      <c r="B14" s="21">
        <f>B13-B8</f>
        <v/>
      </c>
      <c r="C14" s="22" t="inlineStr">
        <is>
          <t>Objetivo − valor declarado de la cartera</t>
        </is>
      </c>
    </row>
    <row r="15" ht="24" customHeight="1">
      <c r="A15" s="23" t="inlineStr">
        <is>
          <t>Nº de exits realizados</t>
        </is>
      </c>
      <c r="B15" s="31" t="n">
        <v>5</v>
      </c>
      <c r="C15" s="22" t="inlineStr">
        <is>
          <t>Entrevista p. 10</t>
        </is>
      </c>
    </row>
    <row r="16" ht="24" customHeight="1">
      <c r="A16" s="23" t="inlineStr">
        <is>
          <t>Exits con desinversión total</t>
        </is>
      </c>
      <c r="B16" s="31" t="n">
        <v>1</v>
      </c>
      <c r="C16" s="22" t="inlineStr">
        <is>
          <t>Entrevista p. 10: recompra del fundador a la valoración de entrada</t>
        </is>
      </c>
    </row>
    <row r="17" ht="24" customHeight="1">
      <c r="A17" s="23" t="inlineStr">
        <is>
          <t>Múltiplo REALIZADO (caja cobrada ÷ capital invertido)</t>
        </is>
      </c>
      <c r="B17" s="32" t="n">
        <v>1</v>
      </c>
      <c r="C17" s="22" t="inlineStr">
        <is>
          <t>Entrevista p. 10: «en todas hemos recuperado al menos la cantidad que invertimos»</t>
        </is>
      </c>
    </row>
    <row r="18" ht="24" customHeight="1">
      <c r="A18" s="23" t="inlineStr">
        <is>
          <t>Facturación agregada del conjunto de empresas</t>
        </is>
      </c>
      <c r="B18" s="9" t="n">
        <v>20000000</v>
      </c>
      <c r="C18" s="22" t="inlineStr">
        <is>
          <t>Texto del caso, p. 1</t>
        </is>
      </c>
    </row>
    <row r="19" ht="24" customHeight="1">
      <c r="A19" s="23" t="inlineStr">
        <is>
          <t>Empleados del conjunto de empresas</t>
        </is>
      </c>
      <c r="B19" s="31" t="n">
        <v>600</v>
      </c>
      <c r="C19" s="22" t="inlineStr">
        <is>
          <t>Texto del caso, p. 1</t>
        </is>
      </c>
    </row>
    <row r="20" ht="24" customHeight="1">
      <c r="A20" s="23" t="inlineStr">
        <is>
          <t>Inversión anual objetivo</t>
        </is>
      </c>
      <c r="B20" s="9" t="n">
        <v>200000</v>
      </c>
      <c r="C20" s="22" t="inlineStr">
        <is>
          <t>Entrevista p. 10: «al menos 200.000 € al año»</t>
        </is>
      </c>
    </row>
    <row r="21" ht="24" customHeight="1">
      <c r="A21" s="23" t="inlineStr">
        <is>
          <t>Ticket objetivo por primera inversión (nueva política)</t>
        </is>
      </c>
      <c r="B21" s="9" t="n">
        <v>10000</v>
      </c>
      <c r="C21" s="22" t="inlineStr">
        <is>
          <t>Entrevista p. 10: reducir el ticket a 10.000 €</t>
        </is>
      </c>
    </row>
    <row r="22" ht="24" customHeight="1">
      <c r="A22" s="23" t="inlineStr">
        <is>
          <t>Participación resultante con el nuevo ticket</t>
        </is>
      </c>
      <c r="B22" s="12">
        <f>IFERROR(B21/300000,0)</f>
        <v/>
      </c>
      <c r="C22" s="22" t="inlineStr">
        <is>
          <t>Ticket 10.000 € sobre valoración de entrada de 300.000-1.000.000 €</t>
        </is>
      </c>
    </row>
    <row r="25">
      <c r="A25" s="3" t="inlineStr">
        <is>
          <t>TRES CONCLUSIONES DEL MODELO</t>
        </is>
      </c>
    </row>
    <row r="26" ht="46" customHeight="1">
      <c r="A26" s="4" t="inlineStr">
        <is>
          <t>1. La rentabilidad es contable, no de caja.</t>
        </is>
      </c>
      <c r="B26" s="5" t="inlineStr">
        <is>
          <t>El 100% del «300%» es valoración latente fijada por rondas posteriores y aceptada sin due diligence. Lo efectivamente cobrado en 5 exits equivale a 1,0x: se ha recuperado el principal, no se ha ganado dinero.</t>
        </is>
      </c>
      <c r="C26" s="33" t="n"/>
    </row>
    <row r="28" ht="46" customHeight="1">
      <c r="A28" s="4" t="inlineStr">
        <is>
          <t>2. El objetivo x10 exige un salto de escala, no más operaciones.</t>
        </is>
      </c>
      <c r="B28" s="5" t="inlineStr">
        <is>
          <t>Alcanzar 20,5 M€ desde los 8,3 M€ declarados obliga a multiplicar por 2,5 el valor actual; con un ticket medio de 53.866 € y participaciones inferiores al 3%, ninguna operación individual mueve la aguja salvo MOX.</t>
        </is>
      </c>
      <c r="C28" s="33" t="n"/>
    </row>
    <row r="30" ht="46" customHeight="1">
      <c r="A30" s="4" t="inlineStr">
        <is>
          <t>3. El valor está concentrado y el esfuerzo disperso.</t>
        </is>
      </c>
      <c r="B30" s="5" t="inlineStr">
        <is>
          <t>MOX (30%) concentra más de un tercio del valor; en paralelo se dedican consejos mensuales y horas de dirección a participadas con menos del 3% del capital. La dedicación no sigue al valor.</t>
        </is>
      </c>
      <c r="C30" s="33" t="n"/>
    </row>
  </sheetData>
  <mergeCells count="3">
    <mergeCell ref="B30:C30"/>
    <mergeCell ref="B28:C28"/>
    <mergeCell ref="B26:C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60" customWidth="1" min="3" max="3"/>
    <col width="13" customWidth="1" min="4" max="4"/>
    <col width="52" customWidth="1" min="5" max="5"/>
  </cols>
  <sheetData>
    <row r="1">
      <c r="A1" s="1" t="inlineStr">
        <is>
          <t>HOJA 4 · COSTE DE DEDICACIÓN DEL MODELO ACTUAL</t>
        </is>
      </c>
    </row>
    <row r="2">
      <c r="A2" s="2" t="inlineStr">
        <is>
          <t>¿Cuántas horas al mes consume el actual sistema de análisis y seguimiento, y qué capacidad real tienen Tom y Macarena?</t>
        </is>
      </c>
    </row>
    <row r="4" ht="34" customHeight="1">
      <c r="A4" s="6" t="inlineStr">
        <is>
          <t>Actividad</t>
        </is>
      </c>
      <c r="B4" s="6" t="inlineStr">
        <is>
          <t>Volumen mensual</t>
        </is>
      </c>
      <c r="C4" s="6" t="inlineStr">
        <is>
          <t>Horas por unidad</t>
        </is>
      </c>
      <c r="D4" s="6" t="inlineStr">
        <is>
          <t>Horas al mes</t>
        </is>
      </c>
      <c r="E4" s="6" t="inlineStr">
        <is>
          <t>Fuente / hipótesis</t>
        </is>
      </c>
    </row>
    <row r="5" ht="32" customHeight="1">
      <c r="A5" s="5" t="inlineStr">
        <is>
          <t>Análisis de oportunidades recibidas</t>
        </is>
      </c>
      <c r="B5" s="8" t="n">
        <v>75</v>
      </c>
      <c r="C5" s="34" t="n">
        <v>2</v>
      </c>
      <c r="D5" s="35">
        <f>B5*C5</f>
        <v/>
      </c>
      <c r="E5" s="22" t="inlineStr">
        <is>
          <t>Entrevista p. 6: «recibimos unas 75 oportunidades al mes» y «un par de horas para analizar cada uno»</t>
        </is>
      </c>
    </row>
    <row r="6" ht="32" customHeight="1">
      <c r="A6" s="5" t="inlineStr">
        <is>
          <t>Consejos de administración</t>
        </is>
      </c>
      <c r="B6" s="8" t="n">
        <v>10</v>
      </c>
      <c r="C6" s="34" t="n">
        <v>4</v>
      </c>
      <c r="D6" s="35">
        <f>B6*C6</f>
        <v/>
      </c>
      <c r="E6" s="22" t="inlineStr">
        <is>
          <t>Caso p. 7: representación en 10 consejos, periodicidad mensual, «una mañana o una tarde enteras»</t>
        </is>
      </c>
    </row>
    <row r="7" ht="32" customHeight="1">
      <c r="A7" s="5" t="inlineStr">
        <is>
          <t>Seguimiento mensual de startups</t>
        </is>
      </c>
      <c r="B7" s="8" t="n">
        <v>20</v>
      </c>
      <c r="C7" s="34" t="n">
        <v>1</v>
      </c>
      <c r="D7" s="35">
        <f>B7*C7</f>
        <v/>
      </c>
      <c r="E7" s="22" t="inlineStr">
        <is>
          <t>Caso p. 7: contacto mensual con 20 startups (hipótesis: 1 h por empresa)</t>
        </is>
      </c>
    </row>
    <row r="8" ht="32" customHeight="1">
      <c r="A8" s="5" t="inlineStr">
        <is>
          <t>Apoyo reactivo a participadas (legal, marketing, rondas)</t>
        </is>
      </c>
      <c r="B8" s="8" t="n">
        <v>10</v>
      </c>
      <c r="C8" s="34" t="n">
        <v>2</v>
      </c>
      <c r="D8" s="35">
        <f>B8*C8</f>
        <v/>
      </c>
      <c r="E8" s="22" t="inlineStr">
        <is>
          <t>Caso p. 7: asistencia reactiva a toda startup que la solicita (hipótesis del analista)</t>
        </is>
      </c>
    </row>
    <row r="9" ht="32" customHeight="1">
      <c r="A9" s="5" t="inlineStr">
        <is>
          <t>Gestión de empresas propias (Froggie, Oso Polar, Agilia)</t>
        </is>
      </c>
      <c r="B9" s="8" t="n">
        <v>3</v>
      </c>
      <c r="C9" s="34" t="n">
        <v>8</v>
      </c>
      <c r="D9" s="35">
        <f>B9*C9</f>
        <v/>
      </c>
      <c r="E9" s="22" t="inlineStr">
        <is>
          <t>Caso pp. 5-6: Macarena acude personalmente a los locales (hipótesis del analista)</t>
        </is>
      </c>
    </row>
    <row r="10">
      <c r="A10" s="36" t="inlineStr">
        <is>
          <t>TOTAL HORAS NECESARIAS AL MES</t>
        </is>
      </c>
      <c r="B10" s="37" t="inlineStr"/>
      <c r="C10" s="37" t="inlineStr"/>
      <c r="D10" s="38">
        <f>SUM(D5:D9)</f>
        <v/>
      </c>
      <c r="E10" s="39" t="inlineStr"/>
    </row>
    <row r="12" ht="34" customHeight="1">
      <c r="A12" s="6" t="inlineStr">
        <is>
          <t>Capacidad disponible</t>
        </is>
      </c>
      <c r="B12" s="6" t="inlineStr">
        <is>
          <t>Valor</t>
        </is>
      </c>
      <c r="C12" s="6" t="inlineStr">
        <is>
          <t>Cálculo / hipótesis</t>
        </is>
      </c>
    </row>
    <row r="13" ht="22" customHeight="1">
      <c r="A13" s="23" t="inlineStr">
        <is>
          <t>Personas dedicadas a la actividad inversora</t>
        </is>
      </c>
      <c r="B13" s="31" t="n">
        <v>2</v>
      </c>
      <c r="C13" s="22" t="inlineStr">
        <is>
          <t>Tom Horsey y Macarena González</t>
        </is>
      </c>
    </row>
    <row r="14" ht="22" customHeight="1">
      <c r="A14" s="23" t="inlineStr">
        <is>
          <t>Horas laborables por persona y mes</t>
        </is>
      </c>
      <c r="B14" s="31" t="n">
        <v>160</v>
      </c>
      <c r="C14" s="22" t="inlineStr">
        <is>
          <t>Hipótesis del analista: 40 h/semana × 4 semanas</t>
        </is>
      </c>
    </row>
    <row r="15" ht="22" customHeight="1">
      <c r="A15" s="23" t="inlineStr">
        <is>
          <t>Capacidad total del equipo (h/mes)</t>
        </is>
      </c>
      <c r="B15" s="40">
        <f>B13*B14</f>
        <v/>
      </c>
      <c r="C15" s="22" t="inlineStr">
        <is>
          <t>Personas × horas por persona</t>
        </is>
      </c>
    </row>
    <row r="16" ht="22" customHeight="1">
      <c r="A16" s="23" t="inlineStr">
        <is>
          <t>Horas exigidas por el modelo actual (h/mes)</t>
        </is>
      </c>
      <c r="B16" s="41">
        <f>D10</f>
        <v/>
      </c>
      <c r="C16" s="22" t="inlineStr">
        <is>
          <t>Total de la tabla superior</t>
        </is>
      </c>
    </row>
    <row r="17" ht="22" customHeight="1">
      <c r="A17" s="23" t="inlineStr">
        <is>
          <t>Grado de ocupación de la capacidad</t>
        </is>
      </c>
      <c r="B17" s="30">
        <f>IFERROR(B16/B15,0)</f>
        <v/>
      </c>
      <c r="C17" s="22" t="inlineStr">
        <is>
          <t>Horas exigidas ÷ capacidad total</t>
        </is>
      </c>
    </row>
    <row r="18" ht="22" customHeight="1">
      <c r="A18" s="23" t="inlineStr">
        <is>
          <t>Horas libres para crear valor en las participadas</t>
        </is>
      </c>
      <c r="B18" s="40">
        <f>B15-B16</f>
        <v/>
      </c>
      <c r="C18" s="22" t="inlineStr">
        <is>
          <t>Capacidad total − horas exigidas</t>
        </is>
      </c>
    </row>
    <row r="19" ht="22" customHeight="1">
      <c r="A19" s="23" t="inlineStr">
        <is>
          <t>Oportunidades analizadas al año</t>
        </is>
      </c>
      <c r="B19" s="42">
        <f>B5*12</f>
        <v/>
      </c>
      <c r="C19" s="22" t="inlineStr">
        <is>
          <t>75 al mes × 12</t>
        </is>
      </c>
    </row>
    <row r="20" ht="22" customHeight="1">
      <c r="A20" s="23" t="inlineStr">
        <is>
          <t>Inversiones cerradas en 2018 (Anexo 2)</t>
        </is>
      </c>
      <c r="B20" s="31" t="n">
        <v>13</v>
      </c>
      <c r="C20" s="22" t="inlineStr">
        <is>
          <t>Hoja 1, cohorte 2018</t>
        </is>
      </c>
    </row>
    <row r="21" ht="22" customHeight="1">
      <c r="A21" s="23" t="inlineStr">
        <is>
          <t>Tasa de conversión de oportunidad a inversión</t>
        </is>
      </c>
      <c r="B21" s="30">
        <f>IFERROR(B20/B19,0)</f>
        <v/>
      </c>
      <c r="C21" s="22" t="inlineStr">
        <is>
          <t>Inversiones ÷ oportunidades analizadas</t>
        </is>
      </c>
    </row>
    <row r="22" ht="22" customHeight="1">
      <c r="A22" s="23" t="inlineStr">
        <is>
          <t>Horas anuales dedicadas sólo a analizar (h/año)</t>
        </is>
      </c>
      <c r="B22" s="35">
        <f>D5*12</f>
        <v/>
      </c>
      <c r="C22" s="22" t="inlineStr">
        <is>
          <t>75 × 2 h × 12 meses</t>
        </is>
      </c>
    </row>
    <row r="24">
      <c r="A24" s="20" t="inlineStr">
        <is>
          <t>LECTURA: analizar «todas» las oportunidades que llegan cuesta unas 1.800 horas al año —el equivalente a una persona a jornada completa— para cerrar 13 operaciones. El modelo absorbe 254 de las 320 horas mensuales disponibles (79%) en filtrar y asistir, y deja poco margen para lo que de verdad multiplica el valor: acompañar a las pocas empresas capaces de dar el x10.</t>
        </is>
      </c>
    </row>
    <row r="25"/>
    <row r="26"/>
  </sheetData>
  <mergeCells count="1">
    <mergeCell ref="A24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2026-09-09T23:37:45Z</dcterms:created>
  <dcterms:modified xsi:type="dcterms:W3CDTF">2026-09-09T23:37:45Z</dcterms:modified>
</cp:coreProperties>
</file>