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Cuenta de Resultados" sheetId="2" state="visible" r:id="rId2"/>
    <sheet name="Ratios y Anál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;-"/>
    <numFmt numFmtId="165" formatCode="0.0%;(0.0%);-"/>
    <numFmt numFmtId="166" formatCode="#,##0;(#,##0);-"/>
    <numFmt numFmtId="167" formatCode="+0.0&quot; p.p.&quot;;-0.0&quot; p.p.&quot;;-"/>
    <numFmt numFmtId="168" formatCode="#,##0.00;(#,##0.00);-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3" borderId="1" pivotButton="0" quotePrefix="0" xfId="0"/>
    <xf numFmtId="0" fontId="2" fillId="0" borderId="1" pivotButton="0" quotePrefix="0" xfId="0"/>
    <xf numFmtId="165" fontId="5" fillId="3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6" fontId="5" fillId="4" borderId="1" pivotButton="0" quotePrefix="0" xfId="0"/>
    <xf numFmtId="166" fontId="6" fillId="4" borderId="1" pivotButton="0" quotePrefix="0" xfId="0"/>
    <xf numFmtId="165" fontId="6" fillId="4" borderId="1" pivotButton="0" quotePrefix="0" xfId="0"/>
    <xf numFmtId="167" fontId="6" fillId="4" borderId="1" pivotButton="0" quotePrefix="0" xfId="0"/>
    <xf numFmtId="166" fontId="7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0" fontId="6" fillId="5" borderId="0" pivotButton="0" quotePrefix="0" xfId="0"/>
    <xf numFmtId="0" fontId="4" fillId="0" borderId="0" applyAlignment="1" pivotButton="0" quotePrefix="0" xfId="0">
      <alignment vertical="center" wrapText="1"/>
    </xf>
    <xf numFmtId="0" fontId="6" fillId="5" borderId="1" pivotButton="0" quotePrefix="0" xfId="0"/>
    <xf numFmtId="0" fontId="2" fillId="0" borderId="1" applyAlignment="1" pivotButton="0" quotePrefix="0" xfId="0">
      <alignment vertical="center" wrapText="1"/>
    </xf>
    <xf numFmtId="164" fontId="8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168" fontId="8" fillId="0" borderId="1" pivotButton="0" quotePrefix="0" xfId="0"/>
    <xf numFmtId="165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78" customWidth="1" min="4" max="4"/>
  </cols>
  <sheetData>
    <row r="1">
      <c r="A1" s="1" t="inlineStr">
        <is>
          <t>CASO INSITE (IESE M-1384) · Revelation Iberia — Supuestos e hipótesis</t>
        </is>
      </c>
    </row>
    <row r="2">
      <c r="A2" s="2" t="inlineStr">
        <is>
          <t>Las celdas AMARILLAS con texto azul son los inputs del modelo: al cambiarlas se recalculan todos los ratios.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justificación</t>
        </is>
      </c>
    </row>
    <row r="5">
      <c r="A5" s="4" t="inlineStr">
        <is>
          <t>Precio medio de una licencia anual</t>
        </is>
      </c>
      <c r="B5" s="5" t="n">
        <v>200</v>
      </c>
      <c r="C5" s="4" t="inlineStr">
        <is>
          <t>miles €</t>
        </is>
      </c>
      <c r="D5" s="6" t="inlineStr">
        <is>
          <t>Enunciado: rango 150.000–350.000 €; media en torno a 200.000 €/año.</t>
        </is>
      </c>
    </row>
    <row r="6">
      <c r="A6" s="4" t="inlineStr">
        <is>
          <t>Precio mínimo de licencia</t>
        </is>
      </c>
      <c r="B6" s="5" t="n">
        <v>150</v>
      </c>
      <c r="C6" s="4" t="inlineStr">
        <is>
          <t>miles €</t>
        </is>
      </c>
      <c r="D6" s="6" t="inlineStr">
        <is>
          <t>Enunciado: extremo inferior del rango.</t>
        </is>
      </c>
    </row>
    <row r="7">
      <c r="A7" s="4" t="inlineStr">
        <is>
          <t>Precio máximo de licencia</t>
        </is>
      </c>
      <c r="B7" s="5" t="n">
        <v>350</v>
      </c>
      <c r="C7" s="4" t="inlineStr">
        <is>
          <t>miles €</t>
        </is>
      </c>
      <c r="D7" s="6" t="inlineStr">
        <is>
          <t>Enunciado: extremo superior del rango.</t>
        </is>
      </c>
    </row>
    <row r="8">
      <c r="A8" s="4" t="inlineStr">
        <is>
          <t>Coste medio de una demo</t>
        </is>
      </c>
      <c r="B8" s="5" t="n">
        <v>12</v>
      </c>
      <c r="C8" s="4" t="inlineStr">
        <is>
          <t>miles €</t>
        </is>
      </c>
      <c r="D8" s="6" t="inlineStr">
        <is>
          <t>Enunciado: Revelation estima 12.000 € por demo (datos, interfaz, cuentas y formación).</t>
        </is>
      </c>
    </row>
    <row r="9">
      <c r="A9" s="4" t="inlineStr">
        <is>
          <t>Permanencia media del cliente</t>
        </is>
      </c>
      <c r="B9" s="5" t="n">
        <v>5</v>
      </c>
      <c r="C9" s="4" t="inlineStr">
        <is>
          <t>años</t>
        </is>
      </c>
      <c r="D9" s="6" t="inlineStr">
        <is>
          <t>Nota 5 del caso: suponer una permanencia media de 5 años.</t>
        </is>
      </c>
    </row>
    <row r="10">
      <c r="A10" s="4" t="inlineStr">
        <is>
          <t>Nº de comerciales</t>
        </is>
      </c>
      <c r="B10" s="5" t="n">
        <v>6</v>
      </c>
      <c r="C10" s="4" t="inlineStr">
        <is>
          <t>personas</t>
        </is>
      </c>
      <c r="D10" s="6" t="inlineStr">
        <is>
          <t>Equipo de ventas de 8 personas = 6 comerciales + 2 de soporte/back-office.</t>
        </is>
      </c>
    </row>
    <row r="11">
      <c r="A11" s="4" t="inlineStr">
        <is>
          <t>Nº total del equipo de ventas</t>
        </is>
      </c>
      <c r="B11" s="5" t="n">
        <v>8</v>
      </c>
      <c r="C11" s="4" t="inlineStr">
        <is>
          <t>personas</t>
        </is>
      </c>
      <c r="D11" s="6" t="inlineStr">
        <is>
          <t>Enunciado.</t>
        </is>
      </c>
    </row>
    <row r="12">
      <c r="A12" s="4" t="inlineStr">
        <is>
          <t>Salario fijo medio del comercial</t>
        </is>
      </c>
      <c r="B12" s="5" t="n">
        <v>55</v>
      </c>
      <c r="C12" s="4" t="inlineStr">
        <is>
          <t>miles €</t>
        </is>
      </c>
      <c r="D12" s="6" t="inlineStr">
        <is>
          <t>Enunciado: salario fijo anual medio de 55.000 €.</t>
        </is>
      </c>
    </row>
    <row r="13">
      <c r="A13" s="4" t="inlineStr">
        <is>
          <t>% del coste de la demo asumido por el comercial</t>
        </is>
      </c>
      <c r="B13" s="7" t="n">
        <v>0.05</v>
      </c>
      <c r="C13" s="4" t="inlineStr">
        <is>
          <t>%</t>
        </is>
      </c>
      <c r="D13" s="6" t="inlineStr">
        <is>
          <t>Nota 4 del caso: en 2021 el comercial soporta el 5% del coste de la demo.</t>
        </is>
      </c>
    </row>
    <row r="14">
      <c r="A14" s="4" t="inlineStr">
        <is>
          <t>Duración mínima del ciclo de venta</t>
        </is>
      </c>
      <c r="B14" s="5" t="n">
        <v>6</v>
      </c>
      <c r="C14" s="4" t="inlineStr">
        <is>
          <t>meses</t>
        </is>
      </c>
      <c r="D14" s="6" t="inlineStr">
        <is>
          <t>Enunciado: el proceso de venta dura entre 6 y 9 meses.</t>
        </is>
      </c>
    </row>
    <row r="15">
      <c r="A15" s="4" t="inlineStr">
        <is>
          <t>Duración máxima del ciclo de venta</t>
        </is>
      </c>
      <c r="B15" s="5" t="n">
        <v>9</v>
      </c>
      <c r="C15" s="4" t="inlineStr">
        <is>
          <t>meses</t>
        </is>
      </c>
      <c r="D15" s="6" t="inlineStr">
        <is>
          <t>Enunciado: el proceso de venta dura entre 6 y 9 meses.</t>
        </is>
      </c>
    </row>
    <row r="17">
      <c r="A17" s="8" t="inlineStr">
        <is>
          <t>Nota metodológica</t>
        </is>
      </c>
    </row>
    <row r="18">
      <c r="A18" s="9" t="inlineStr">
        <is>
          <t>El Anexo 1 no facilita el número de licencias vendidas ni el número de demos entregadas. Ambos se estiman dividiendo la cifra de la cuenta de resultados entre el importe unitario medio: licencias = Ventas netas / Precio medio; demos = Gasto en demos / Coste medio por demo. Son estimaciones razonadas a partir de los datos del caso, no cifras facilitadas por él.</t>
        </is>
      </c>
    </row>
    <row r="19"/>
    <row r="20"/>
  </sheetData>
  <mergeCells count="1">
    <mergeCell ref="A18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ANEXO 1 — Cuenta de resultados de Revelation para Insite</t>
        </is>
      </c>
    </row>
    <row r="2">
      <c r="A2" s="2" t="inlineStr">
        <is>
          <t>Solo ventas de nuevas licencias · Cifras en miles de euros</t>
        </is>
      </c>
    </row>
    <row r="4">
      <c r="A4" s="10" t="inlineStr">
        <is>
          <t>Concepto</t>
        </is>
      </c>
      <c r="B4" s="10" t="inlineStr">
        <is>
          <t>2019</t>
        </is>
      </c>
      <c r="C4" s="10" t="inlineStr">
        <is>
          <t>2020</t>
        </is>
      </c>
      <c r="D4" s="10" t="inlineStr">
        <is>
          <t>Var. absoluta</t>
        </is>
      </c>
      <c r="E4" s="10" t="inlineStr">
        <is>
          <t>Var. %</t>
        </is>
      </c>
      <c r="F4" s="10" t="inlineStr">
        <is>
          <t>% s/ventas 2019</t>
        </is>
      </c>
      <c r="G4" s="10" t="inlineStr">
        <is>
          <t>% s/ventas 2020</t>
        </is>
      </c>
      <c r="H4" s="10" t="inlineStr">
        <is>
          <t>Var. (p.p.)</t>
        </is>
      </c>
    </row>
    <row r="5">
      <c r="A5" s="11" t="inlineStr">
        <is>
          <t>Ventas netas</t>
        </is>
      </c>
      <c r="B5" s="12" t="n">
        <v>12250</v>
      </c>
      <c r="C5" s="12" t="n">
        <v>9632</v>
      </c>
      <c r="D5" s="13">
        <f>C5-B5</f>
        <v>-2618</v>
      </c>
      <c r="E5" s="14">
        <f>IFERROR(C5/B5-1,"n/a")</f>
        <v>-0.21371428571428575</v>
      </c>
      <c r="F5" s="14">
        <f>IFERROR(B5/B$5,"n/a")</f>
        <v>1.0</v>
      </c>
      <c r="G5" s="14">
        <f>IFERROR(C5/C$5,"n/a")</f>
        <v>1.0</v>
      </c>
      <c r="H5" s="15">
        <f>IFERROR((G5-F5)*100,"n/a")</f>
        <v>0.0</v>
      </c>
    </row>
    <row r="6">
      <c r="A6" s="4" t="inlineStr">
        <is>
          <t>Coste de ventas</t>
        </is>
      </c>
      <c r="B6" s="16" t="n">
        <v>3085</v>
      </c>
      <c r="C6" s="16" t="n">
        <v>2503</v>
      </c>
      <c r="D6" s="17">
        <f>C6-B6</f>
        <v>-582</v>
      </c>
      <c r="E6" s="18">
        <f>IFERROR(C6/B6-1,"n/a")</f>
        <v>-0.18865478119935175</v>
      </c>
      <c r="F6" s="18">
        <f>IFERROR(B6/B$5,"n/a")</f>
        <v>0.2518367346938776</v>
      </c>
      <c r="G6" s="18">
        <f>IFERROR(C6/C$5,"n/a")</f>
        <v>0.2598629568106312</v>
      </c>
      <c r="H6" s="19">
        <f>IFERROR((G6-F6)*100,"n/a")</f>
        <v>0.8026222116753634</v>
      </c>
    </row>
    <row r="7">
      <c r="A7" s="11" t="inlineStr">
        <is>
          <t>MARGEN BRUTO</t>
        </is>
      </c>
      <c r="B7" s="13">
        <f>B5-B6</f>
        <v>9165</v>
      </c>
      <c r="C7" s="13">
        <f>C5-C6</f>
        <v>7129</v>
      </c>
      <c r="D7" s="13">
        <f>C7-B7</f>
        <v>-2036</v>
      </c>
      <c r="E7" s="14">
        <f>IFERROR(C7/B7-1,"n/a")</f>
        <v>-0.22214948172394977</v>
      </c>
      <c r="F7" s="14">
        <f>IFERROR(B7/B$5,"n/a")</f>
        <v>0.7481632653061224</v>
      </c>
      <c r="G7" s="14">
        <f>IFERROR(C7/C$5,"n/a")</f>
        <v>0.7401370431893688</v>
      </c>
      <c r="H7" s="15">
        <f>IFERROR((G7-F7)*100,"n/a")</f>
        <v>-0.8026222116753634</v>
      </c>
    </row>
    <row r="8">
      <c r="A8" s="4" t="inlineStr">
        <is>
          <t>Gastos de ventas para demos</t>
        </is>
      </c>
      <c r="B8" s="16" t="n">
        <v>998</v>
      </c>
      <c r="C8" s="16" t="n">
        <v>1123</v>
      </c>
      <c r="D8" s="17">
        <f>C8-B8</f>
        <v>125</v>
      </c>
      <c r="E8" s="18">
        <f>IFERROR(C8/B8-1,"n/a")</f>
        <v>0.12525050100200397</v>
      </c>
      <c r="F8" s="18">
        <f>IFERROR(B8/B$5,"n/a")</f>
        <v>0.08146938775510204</v>
      </c>
      <c r="G8" s="18">
        <f>IFERROR(C8/C$5,"n/a")</f>
        <v>0.11659053156146179</v>
      </c>
      <c r="H8" s="19">
        <f>IFERROR((G8-F8)*100,"n/a")</f>
        <v>3.512114380635975</v>
      </c>
    </row>
    <row r="9">
      <c r="A9" s="4" t="inlineStr">
        <is>
          <t>Gastos del equipo de ventas</t>
        </is>
      </c>
      <c r="B9" s="16" t="n">
        <v>1076</v>
      </c>
      <c r="C9" s="16" t="n">
        <v>867</v>
      </c>
      <c r="D9" s="17">
        <f>C9-B9</f>
        <v>-209</v>
      </c>
      <c r="E9" s="18">
        <f>IFERROR(C9/B9-1,"n/a")</f>
        <v>-0.19423791821561343</v>
      </c>
      <c r="F9" s="18">
        <f>IFERROR(B9/B$5,"n/a")</f>
        <v>0.08783673469387755</v>
      </c>
      <c r="G9" s="18">
        <f>IFERROR(C9/C$5,"n/a")</f>
        <v>0.0900124584717608</v>
      </c>
      <c r="H9" s="19">
        <f>IFERROR((G9-F9)*100,"n/a")</f>
        <v>0.21757237778832483</v>
      </c>
    </row>
    <row r="10">
      <c r="A10" s="4" t="inlineStr">
        <is>
          <t>Gastos de marketing</t>
        </is>
      </c>
      <c r="B10" s="16" t="n">
        <v>869</v>
      </c>
      <c r="C10" s="16" t="n">
        <v>903</v>
      </c>
      <c r="D10" s="17">
        <f>C10-B10</f>
        <v>34</v>
      </c>
      <c r="E10" s="18">
        <f>IFERROR(C10/B10-1,"n/a")</f>
        <v>0.03912543153049475</v>
      </c>
      <c r="F10" s="18">
        <f>IFERROR(B10/B$5,"n/a")</f>
        <v>0.07093877551020408</v>
      </c>
      <c r="G10" s="18">
        <f>IFERROR(C10/C$5,"n/a")</f>
        <v>0.09375</v>
      </c>
      <c r="H10" s="19">
        <f>IFERROR((G10-F10)*100,"n/a")</f>
        <v>2.2811224489795916</v>
      </c>
    </row>
    <row r="11">
      <c r="A11" s="11" t="inlineStr">
        <is>
          <t>Costes totales de ventas y marketing</t>
        </is>
      </c>
      <c r="B11" s="13">
        <f>SUM(B8:B10)</f>
        <v>2943</v>
      </c>
      <c r="C11" s="13">
        <f>SUM(C8:C10)</f>
        <v>2893</v>
      </c>
      <c r="D11" s="13">
        <f>C11-B11</f>
        <v>-50</v>
      </c>
      <c r="E11" s="14">
        <f>IFERROR(C11/B11-1,"n/a")</f>
        <v>-0.016989466530750952</v>
      </c>
      <c r="F11" s="14">
        <f>IFERROR(B11/B$5,"n/a")</f>
        <v>0.24024489795918366</v>
      </c>
      <c r="G11" s="14">
        <f>IFERROR(C11/C$5,"n/a")</f>
        <v>0.3003529900332226</v>
      </c>
      <c r="H11" s="15">
        <f>IFERROR((G11-F11)*100,"n/a")</f>
        <v>6.0108092074038915</v>
      </c>
    </row>
    <row r="12">
      <c r="A12" s="4" t="inlineStr">
        <is>
          <t>Desarrollo de productos</t>
        </is>
      </c>
      <c r="B12" s="16" t="n">
        <v>2413</v>
      </c>
      <c r="C12" s="16" t="n">
        <v>1804</v>
      </c>
      <c r="D12" s="17">
        <f>C12-B12</f>
        <v>-609</v>
      </c>
      <c r="E12" s="18">
        <f>IFERROR(C12/B12-1,"n/a")</f>
        <v>-0.2523829258184832</v>
      </c>
      <c r="F12" s="18">
        <f>IFERROR(B12/B$5,"n/a")</f>
        <v>0.1969795918367347</v>
      </c>
      <c r="G12" s="18">
        <f>IFERROR(C12/C$5,"n/a")</f>
        <v>0.1872923588039867</v>
      </c>
      <c r="H12" s="19">
        <f>IFERROR((G12-F12)*100,"n/a")</f>
        <v>-0.9687233032747988</v>
      </c>
    </row>
    <row r="13">
      <c r="A13" s="4" t="inlineStr">
        <is>
          <t>Generales y administrativos</t>
        </is>
      </c>
      <c r="B13" s="16" t="n">
        <v>1427</v>
      </c>
      <c r="C13" s="16" t="n">
        <v>1335</v>
      </c>
      <c r="D13" s="17">
        <f>C13-B13</f>
        <v>-92</v>
      </c>
      <c r="E13" s="18">
        <f>IFERROR(C13/B13-1,"n/a")</f>
        <v>-0.06447091800981075</v>
      </c>
      <c r="F13" s="18">
        <f>IFERROR(B13/B$5,"n/a")</f>
        <v>0.11648979591836735</v>
      </c>
      <c r="G13" s="18">
        <f>IFERROR(C13/C$5,"n/a")</f>
        <v>0.13860049833887042</v>
      </c>
      <c r="H13" s="19">
        <f>IFERROR((G13-F13)*100,"n/a")</f>
        <v>2.211070242050307</v>
      </c>
    </row>
    <row r="14">
      <c r="A14" s="11" t="inlineStr">
        <is>
          <t>MARGEN DE VENTAS</t>
        </is>
      </c>
      <c r="B14" s="13">
        <f>B7-B11-B12-B13</f>
        <v>2382</v>
      </c>
      <c r="C14" s="13">
        <f>C7-C11-C12-C13</f>
        <v>1097</v>
      </c>
      <c r="D14" s="13">
        <f>C14-B14</f>
        <v>-1285</v>
      </c>
      <c r="E14" s="14">
        <f>IFERROR(C14/B14-1,"n/a")</f>
        <v>-0.5394626364399664</v>
      </c>
      <c r="F14" s="14">
        <f>IFERROR(B14/B$5,"n/a")</f>
        <v>0.19444897959183674</v>
      </c>
      <c r="G14" s="14">
        <f>IFERROR(C14/C$5,"n/a")</f>
        <v>0.11389119601328904</v>
      </c>
      <c r="H14" s="15">
        <f>IFERROR((G14-F14)*100,"n/a")</f>
        <v>-8.05577835785477</v>
      </c>
    </row>
    <row r="15">
      <c r="A15" s="4" t="inlineStr">
        <is>
          <t>Gastos generales</t>
        </is>
      </c>
      <c r="B15" s="16" t="n">
        <v>647</v>
      </c>
      <c r="C15" s="16" t="n">
        <v>638</v>
      </c>
      <c r="D15" s="17">
        <f>C15-B15</f>
        <v>-9</v>
      </c>
      <c r="E15" s="18">
        <f>IFERROR(C15/B15-1,"n/a")</f>
        <v>-0.01391035548686248</v>
      </c>
      <c r="F15" s="18">
        <f>IFERROR(B15/B$5,"n/a")</f>
        <v>0.052816326530612245</v>
      </c>
      <c r="G15" s="18">
        <f>IFERROR(C15/C$5,"n/a")</f>
        <v>0.0662375415282392</v>
      </c>
      <c r="H15" s="19">
        <f>IFERROR((G15-F15)*100,"n/a")</f>
        <v>1.3421214997626953</v>
      </c>
    </row>
    <row r="16">
      <c r="A16" s="11" t="inlineStr">
        <is>
          <t>BENEFICIO ANTES DE IMPUESTOS</t>
        </is>
      </c>
      <c r="B16" s="13">
        <f>B14-B15</f>
        <v>1735</v>
      </c>
      <c r="C16" s="13">
        <f>C14-C15</f>
        <v>459</v>
      </c>
      <c r="D16" s="13">
        <f>C16-B16</f>
        <v>-1276</v>
      </c>
      <c r="E16" s="14">
        <f>IFERROR(C16/B16-1,"n/a")</f>
        <v>-0.7354466858789626</v>
      </c>
      <c r="F16" s="14">
        <f>IFERROR(B16/B$5,"n/a")</f>
        <v>0.1416326530612245</v>
      </c>
      <c r="G16" s="14">
        <f>IFERROR(C16/C$5,"n/a")</f>
        <v>0.04765365448504984</v>
      </c>
      <c r="H16" s="15">
        <f>IFERROR((G16-F16)*100,"n/a")</f>
        <v>-9.397899857617466</v>
      </c>
    </row>
    <row r="18">
      <c r="A18" s="9" t="inlineStr">
        <is>
          <t>Nota de conciliación con el Anexo 1 original: (a) el caso recoge un coste total de ventas y marketing de 2.894 en 2020, mientras que la suma de sus tres partidas (1.123 + 867 + 903) da 2.893; (b) el caso recoge un BAI de 458, mientras que 1.097 − 638 da 459. Son diferencias de 1 k€ por redondeo del propio caso, sin efecto en el análisis. El ejercicio 2019 cuadra exactamente. Esta hoja calcula los subtotales con fórmulas, por lo que muestra los importes aritméticamente consistentes.</t>
        </is>
      </c>
    </row>
    <row r="19"/>
    <row r="21">
      <c r="A21" s="20" t="inlineStr">
        <is>
          <t>LECTURA RÁPIDA DE LA CUENTA DE RESULTADOS</t>
        </is>
      </c>
    </row>
    <row r="22" ht="26" customHeight="1">
      <c r="A22" s="21" t="inlineStr">
        <is>
          <t>•  Las ventas netas caen un 21,4% (−2.618 k€) pero el beneficio antes de impuestos se hunde un 73,5% (−1.276 k€): el deterioro es estructural, no solo de volumen.</t>
        </is>
      </c>
    </row>
    <row r="23" ht="26" customHeight="1">
      <c r="A23" s="21" t="inlineStr">
        <is>
          <t>•  El gasto en demos es la ÚNICA partida de coste que crece en términos absolutos (+125 k€, +12,5%) justo en el año en que las ventas se desploman.</t>
        </is>
      </c>
    </row>
    <row r="24" ht="26" customHeight="1">
      <c r="A24" s="21" t="inlineStr">
        <is>
          <t>•  El gasto en demos pasa del 8,1% al 11,7% de las ventas: 3,5 puntos porcentuales de deterioro.</t>
        </is>
      </c>
    </row>
    <row r="25" ht="26" customHeight="1">
      <c r="A25" s="21" t="inlineStr">
        <is>
          <t>•  Los costes totales de ventas y marketing apenas bajan un 1,7% frente a una caída de ventas del 21,4%: la estructura comercial no ha acompañado al negocio.</t>
        </is>
      </c>
    </row>
    <row r="26" ht="26" customHeight="1">
      <c r="A26" s="21" t="inlineStr">
        <is>
          <t>•  El margen bruto se mantiene en el ~74%: el problema no está ni en el producto ni en el precio, está en el proceso comercial.</t>
        </is>
      </c>
    </row>
  </sheetData>
  <mergeCells count="7">
    <mergeCell ref="A26:H26"/>
    <mergeCell ref="A21:H21"/>
    <mergeCell ref="A25:H25"/>
    <mergeCell ref="A24:H24"/>
    <mergeCell ref="A18:H19"/>
    <mergeCell ref="A23:H2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14" customWidth="1" min="5" max="5"/>
    <col width="56" customWidth="1" min="6" max="6"/>
  </cols>
  <sheetData>
    <row r="1">
      <c r="A1" s="1" t="inlineStr">
        <is>
          <t>ANÁLISIS DE RATIOS — Revelation Iberia / Insite · 2019 vs 2020</t>
        </is>
      </c>
    </row>
    <row r="2">
      <c r="A2" s="2" t="inlineStr">
        <is>
          <t>Negro = calculado sobre la cuenta de resultados · Verde = enlaza con la hoja Supuestos</t>
        </is>
      </c>
    </row>
    <row r="4">
      <c r="A4" s="10" t="inlineStr">
        <is>
          <t>Ratio / Indicador</t>
        </is>
      </c>
      <c r="B4" s="10" t="inlineStr">
        <is>
          <t>2019</t>
        </is>
      </c>
      <c r="C4" s="10" t="inlineStr">
        <is>
          <t>2020</t>
        </is>
      </c>
      <c r="D4" s="10" t="inlineStr">
        <is>
          <t>Variación</t>
        </is>
      </c>
      <c r="E4" s="10" t="inlineStr">
        <is>
          <t>Var. %</t>
        </is>
      </c>
      <c r="F4" s="10" t="inlineStr">
        <is>
          <t>Lectura del dato</t>
        </is>
      </c>
    </row>
    <row r="5">
      <c r="A5" s="22" t="inlineStr">
        <is>
          <t>A.  RENTABILIDAD Y ESTRUCTURA DE COSTES</t>
        </is>
      </c>
      <c r="B5" s="22" t="n"/>
      <c r="C5" s="22" t="n"/>
      <c r="D5" s="22" t="n"/>
      <c r="E5" s="22" t="n"/>
      <c r="F5" s="22" t="n"/>
    </row>
    <row r="6">
      <c r="A6" s="4" t="inlineStr">
        <is>
          <t>Margen bruto (%)</t>
        </is>
      </c>
      <c r="B6" s="18">
        <f>'Cuenta de Resultados'!B7/'Cuenta de Resultados'!B5</f>
        <v>0.7481632653061224</v>
      </c>
      <c r="C6" s="18">
        <f>'Cuenta de Resultados'!C7/'Cuenta de Resultados'!C5</f>
        <v>0.7401370431893688</v>
      </c>
      <c r="D6" s="19">
        <f>IFERROR((C6-B6)*100,"n/a")</f>
        <v>-0.8026222116753634</v>
      </c>
      <c r="E6" s="18">
        <f>IFERROR(C6/B6-1,"n/a")</f>
        <v>-0.010727901901825598</v>
      </c>
      <c r="F6" s="23" t="inlineStr">
        <is>
          <t>Estable en ~74%: el problema NO está en el producto ni en el precio.</t>
        </is>
      </c>
    </row>
    <row r="7">
      <c r="A7" s="4" t="inlineStr">
        <is>
          <t>Margen de ventas (%)</t>
        </is>
      </c>
      <c r="B7" s="18">
        <f>'Cuenta de Resultados'!B14/'Cuenta de Resultados'!B5</f>
        <v>0.19444897959183674</v>
      </c>
      <c r="C7" s="18">
        <f>'Cuenta de Resultados'!C14/'Cuenta de Resultados'!C5</f>
        <v>0.11389119601328904</v>
      </c>
      <c r="D7" s="19">
        <f>IFERROR((C7-B7)*100,"n/a")</f>
        <v>-8.05577835785477</v>
      </c>
      <c r="E7" s="18">
        <f>IFERROR(C7/B7-1,"n/a")</f>
        <v>-0.41428751000722475</v>
      </c>
      <c r="F7" s="23" t="inlineStr">
        <is>
          <t>Se desploma: la estructura comercial devora el margen.</t>
        </is>
      </c>
    </row>
    <row r="8">
      <c r="A8" s="4" t="inlineStr">
        <is>
          <t>Margen neto — BAI (%)</t>
        </is>
      </c>
      <c r="B8" s="18">
        <f>'Cuenta de Resultados'!B16/'Cuenta de Resultados'!B5</f>
        <v>0.1416326530612245</v>
      </c>
      <c r="C8" s="18">
        <f>'Cuenta de Resultados'!C16/'Cuenta de Resultados'!C5</f>
        <v>0.04765365448504984</v>
      </c>
      <c r="D8" s="19">
        <f>IFERROR((C8-B8)*100,"n/a")</f>
        <v>-9.397899857617466</v>
      </c>
      <c r="E8" s="18">
        <f>IFERROR(C8/B8-1,"n/a")</f>
        <v>-0.6635404798605992</v>
      </c>
      <c r="F8" s="23" t="inlineStr">
        <is>
          <t>De ~14% a ~5%: se pierden 9 p.p. de rentabilidad en un año.</t>
        </is>
      </c>
    </row>
    <row r="9">
      <c r="A9" s="4" t="inlineStr">
        <is>
          <t>Coste de ventas s/ ventas (%)</t>
        </is>
      </c>
      <c r="B9" s="18">
        <f>'Cuenta de Resultados'!B6/'Cuenta de Resultados'!B5</f>
        <v>0.2518367346938776</v>
      </c>
      <c r="C9" s="18">
        <f>'Cuenta de Resultados'!C6/'Cuenta de Resultados'!C5</f>
        <v>0.2598629568106312</v>
      </c>
      <c r="D9" s="19">
        <f>IFERROR((C9-B9)*100,"n/a")</f>
        <v>0.8026222116753634</v>
      </c>
      <c r="E9" s="18">
        <f>IFERROR(C9/B9-1,"n/a")</f>
        <v>0.031870736120010346</v>
      </c>
      <c r="F9" s="23" t="inlineStr">
        <is>
          <t>Prácticamente constante (~26%).</t>
        </is>
      </c>
    </row>
    <row r="10">
      <c r="A10" s="4" t="inlineStr">
        <is>
          <t>Gasto total ventas + marketing s/ ventas (%)</t>
        </is>
      </c>
      <c r="B10" s="18">
        <f>'Cuenta de Resultados'!B11/'Cuenta de Resultados'!B5</f>
        <v>0.24024489795918366</v>
      </c>
      <c r="C10" s="18">
        <f>'Cuenta de Resultados'!C11/'Cuenta de Resultados'!C5</f>
        <v>0.3003529900332226</v>
      </c>
      <c r="D10" s="19">
        <f>IFERROR((C10-B10)*100,"n/a")</f>
        <v>6.0108092074038915</v>
      </c>
      <c r="E10" s="18">
        <f>IFERROR(C10/B10-1,"n/a")</f>
        <v>0.250195082537199</v>
      </c>
      <c r="F10" s="23" t="inlineStr">
        <is>
          <t>Del 24% al 30%: se gasta más para vender menos.</t>
        </is>
      </c>
    </row>
    <row r="11">
      <c r="A11" s="4" t="inlineStr">
        <is>
          <t>Gasto en DEMOS s/ ventas (%)</t>
        </is>
      </c>
      <c r="B11" s="18">
        <f>'Cuenta de Resultados'!B8/'Cuenta de Resultados'!B5</f>
        <v>0.08146938775510204</v>
      </c>
      <c r="C11" s="18">
        <f>'Cuenta de Resultados'!C8/'Cuenta de Resultados'!C5</f>
        <v>0.11659053156146179</v>
      </c>
      <c r="D11" s="19">
        <f>IFERROR((C11-B11)*100,"n/a")</f>
        <v>3.512114380635975</v>
      </c>
      <c r="E11" s="18">
        <f>IFERROR(C11/B11-1,"n/a")</f>
        <v>0.4310962040359789</v>
      </c>
      <c r="F11" s="23" t="inlineStr">
        <is>
          <t>CLAVE DEL CASO: +3,5 p.p. La demo se ha descontrolado.</t>
        </is>
      </c>
    </row>
    <row r="12">
      <c r="A12" s="4" t="inlineStr">
        <is>
          <t>Gasto en marketing s/ ventas (%)</t>
        </is>
      </c>
      <c r="B12" s="18">
        <f>'Cuenta de Resultados'!B10/'Cuenta de Resultados'!B5</f>
        <v>0.07093877551020408</v>
      </c>
      <c r="C12" s="18">
        <f>'Cuenta de Resultados'!C10/'Cuenta de Resultados'!C5</f>
        <v>0.09375</v>
      </c>
      <c r="D12" s="19">
        <f>IFERROR((C12-B12)*100,"n/a")</f>
        <v>2.2811224489795916</v>
      </c>
      <c r="E12" s="18">
        <f>IFERROR(C12/B12-1,"n/a")</f>
        <v>0.3215621403912543</v>
      </c>
      <c r="F12" s="23" t="inlineStr">
        <is>
          <t>Sube pese a la caída de ventas: 'más marketing, menos ventas'.</t>
        </is>
      </c>
    </row>
    <row r="13">
      <c r="A13" s="4" t="inlineStr">
        <is>
          <t>Gasto en DEMOS s/ margen bruto (%)</t>
        </is>
      </c>
      <c r="B13" s="18">
        <f>'Cuenta de Resultados'!B8/'Cuenta de Resultados'!B7</f>
        <v>0.10889252591380251</v>
      </c>
      <c r="C13" s="18">
        <f>'Cuenta de Resultados'!C8/'Cuenta de Resultados'!C7</f>
        <v>0.1575255996633469</v>
      </c>
      <c r="D13" s="19">
        <f>IFERROR((C13-B13)*100,"n/a")</f>
        <v>4.863307374954438</v>
      </c>
      <c r="E13" s="18">
        <f>IFERROR(C13/B13-1,"n/a")</f>
        <v>0.44661535161780996</v>
      </c>
      <c r="F13" s="23" t="inlineStr">
        <is>
          <t>La demo consume una parte creciente del margen generado.</t>
        </is>
      </c>
    </row>
    <row r="14">
      <c r="A14" s="22" t="inlineStr">
        <is>
          <t>B.  VOLUMEN DE ACTIVIDAD (estimado a partir de precios y costes unitarios)</t>
        </is>
      </c>
      <c r="B14" s="22" t="n"/>
      <c r="C14" s="22" t="n"/>
      <c r="D14" s="22" t="n"/>
      <c r="E14" s="22" t="n"/>
      <c r="F14" s="22" t="n"/>
    </row>
    <row r="15">
      <c r="A15" s="4" t="inlineStr">
        <is>
          <t>Nº de licencias vendidas (estimado)</t>
        </is>
      </c>
      <c r="B15" s="24">
        <f>'Cuenta de Resultados'!B5/Supuestos!$B$5</f>
        <v>61.25</v>
      </c>
      <c r="C15" s="24">
        <f>'Cuenta de Resultados'!C5/Supuestos!$B$5</f>
        <v>48.16</v>
      </c>
      <c r="D15" s="25">
        <f>IFERROR(C15-B15,"n/a")</f>
        <v>-13.090000000000003</v>
      </c>
      <c r="E15" s="18">
        <f>IFERROR(C15/B15-1,"n/a")</f>
        <v>-0.21371428571428575</v>
      </c>
      <c r="F15" s="23" t="inlineStr">
        <is>
          <t>Ventas netas / precio medio de 200 k€ por licencia.</t>
        </is>
      </c>
    </row>
    <row r="16">
      <c r="A16" s="4" t="inlineStr">
        <is>
          <t>Nº de demos entregadas (estimado)</t>
        </is>
      </c>
      <c r="B16" s="24">
        <f>'Cuenta de Resultados'!B8/Supuestos!$B$8</f>
        <v>83.16666666666667</v>
      </c>
      <c r="C16" s="24">
        <f>'Cuenta de Resultados'!C8/Supuestos!$B$8</f>
        <v>93.58333333333333</v>
      </c>
      <c r="D16" s="25">
        <f>IFERROR(C16-B16,"n/a")</f>
        <v>10.416666666666657</v>
      </c>
      <c r="E16" s="18">
        <f>IFERROR(C16/B16-1,"n/a")</f>
        <v>0.12525050100200397</v>
      </c>
      <c r="F16" s="23" t="inlineStr">
        <is>
          <t>Gasto en demos / 12 k€ de coste medio por demo.</t>
        </is>
      </c>
    </row>
    <row r="17">
      <c r="A17" s="4" t="inlineStr">
        <is>
          <t>Demos necesarias por licencia vendida</t>
        </is>
      </c>
      <c r="B17" s="26">
        <f>IFERROR(B16/B15,"n/a")</f>
        <v>1.3578231292517007</v>
      </c>
      <c r="C17" s="26">
        <f>IFERROR(C16/C15,"n/a")</f>
        <v>1.9431755260243633</v>
      </c>
      <c r="D17" s="26">
        <f>IFERROR(C17-B17,"n/a")</f>
        <v>0.5853523967726626</v>
      </c>
      <c r="E17" s="18">
        <f>IFERROR(C17/B17-1,"n/a")</f>
        <v>0.4310962040359789</v>
      </c>
      <c r="F17" s="23" t="inlineStr">
        <is>
          <t>Se pasa de 1,4 a 1,9 demos por cada venta cerrada.</t>
        </is>
      </c>
    </row>
    <row r="18">
      <c r="A18" s="4" t="inlineStr">
        <is>
          <t>TASA DE CONVERSIÓN demo → licencia (%)</t>
        </is>
      </c>
      <c r="B18" s="18">
        <f>IFERROR(B15/B16,"n/a")</f>
        <v>0.7364729458917835</v>
      </c>
      <c r="C18" s="18">
        <f>IFERROR(C15/C16,"n/a")</f>
        <v>0.5146215494211932</v>
      </c>
      <c r="D18" s="19">
        <f>IFERROR((C18-B18)*100,"n/a")</f>
        <v>-22.185139647059028</v>
      </c>
      <c r="E18" s="18">
        <f>IFERROR(C18/B18-1,"n/a")</f>
        <v>-0.30123495738455663</v>
      </c>
      <c r="F18" s="23" t="inlineStr">
        <is>
          <t>EL DATO CLAVE: del ~74% al ~51%. Se pierden 22 p.p. de eficacia.</t>
        </is>
      </c>
    </row>
    <row r="19">
      <c r="A19" s="22" t="inlineStr">
        <is>
          <t>C.  EFICIENCIA COMERCIAL</t>
        </is>
      </c>
      <c r="B19" s="22" t="n"/>
      <c r="C19" s="22" t="n"/>
      <c r="D19" s="22" t="n"/>
      <c r="E19" s="22" t="n"/>
      <c r="F19" s="22" t="n"/>
    </row>
    <row r="20">
      <c r="A20" s="4" t="inlineStr">
        <is>
          <t>Coste de demos por licencia vendida (miles €)</t>
        </is>
      </c>
      <c r="B20" s="25">
        <f>IFERROR('Cuenta de Resultados'!B8/B15,"n/a")</f>
        <v>16.293877551020408</v>
      </c>
      <c r="C20" s="25">
        <f>IFERROR('Cuenta de Resultados'!C8/C15,"n/a")</f>
        <v>23.31810631229236</v>
      </c>
      <c r="D20" s="25">
        <f>IFERROR(C20-B20,"n/a")</f>
        <v>7.024228761271953</v>
      </c>
      <c r="E20" s="18">
        <f>IFERROR(C20/B20-1,"n/a")</f>
        <v>0.43109620403597915</v>
      </c>
      <c r="F20" s="23" t="inlineStr">
        <is>
          <t>Cada venta arrastra un 43% más de coste de demo.</t>
        </is>
      </c>
    </row>
    <row r="21">
      <c r="A21" s="4" t="inlineStr">
        <is>
          <t>Coste de adquisición por licencia — CAC (miles €)</t>
        </is>
      </c>
      <c r="B21" s="25">
        <f>IFERROR('Cuenta de Resultados'!B11/B15,"n/a")</f>
        <v>48.04897959183673</v>
      </c>
      <c r="C21" s="25">
        <f>IFERROR('Cuenta de Resultados'!C11/C15,"n/a")</f>
        <v>60.07059800664452</v>
      </c>
      <c r="D21" s="25">
        <f>IFERROR(C21-B21,"n/a")</f>
        <v>12.02161841480779</v>
      </c>
      <c r="E21" s="18">
        <f>IFERROR(C21/B21-1,"n/a")</f>
        <v>0.25019508253719924</v>
      </c>
      <c r="F21" s="23" t="inlineStr">
        <is>
          <t>Todo el coste comercial y de marketing repercutido por licencia.</t>
        </is>
      </c>
    </row>
    <row r="22">
      <c r="A22" s="4" t="inlineStr">
        <is>
          <t>CAC sobre precio de la licencia (%)</t>
        </is>
      </c>
      <c r="B22" s="18">
        <f>IFERROR(B21/Supuestos!$B$5,"n/a")</f>
        <v>0.24024489795918366</v>
      </c>
      <c r="C22" s="18">
        <f>IFERROR(C21/Supuestos!$B$5,"n/a")</f>
        <v>0.30035299003322263</v>
      </c>
      <c r="D22" s="19">
        <f>IFERROR((C22-B22)*100,"n/a")</f>
        <v>6.010809207403897</v>
      </c>
      <c r="E22" s="18">
        <f>IFERROR(C22/B22-1,"n/a")</f>
        <v>0.25019508253719924</v>
      </c>
      <c r="F22" s="23" t="inlineStr">
        <is>
          <t>Del 24% al 30% del precio se consume en captar al cliente.</t>
        </is>
      </c>
    </row>
    <row r="23">
      <c r="A23" s="4" t="inlineStr">
        <is>
          <t>Ventas netas por euro de gasto comercial (x)</t>
        </is>
      </c>
      <c r="B23" s="26">
        <f>IFERROR('Cuenta de Resultados'!B5/'Cuenta de Resultados'!B11,"n/a")</f>
        <v>4.162419300033979</v>
      </c>
      <c r="C23" s="26">
        <f>IFERROR('Cuenta de Resultados'!C5/'Cuenta de Resultados'!C11,"n/a")</f>
        <v>3.329415831316972</v>
      </c>
      <c r="D23" s="26">
        <f>IFERROR(C23-B23,"n/a")</f>
        <v>-0.8330034687170067</v>
      </c>
      <c r="E23" s="18">
        <f>IFERROR(C23/B23-1,"n/a")</f>
        <v>-0.20012483334156328</v>
      </c>
      <c r="F23" s="23" t="inlineStr">
        <is>
          <t>Retorno del gasto comercial: cae de 4,16x a 3,33x.</t>
        </is>
      </c>
    </row>
    <row r="24">
      <c r="A24" s="4" t="inlineStr">
        <is>
          <t>Ventas netas por comercial (miles €)</t>
        </is>
      </c>
      <c r="B24" s="24">
        <f>IFERROR('Cuenta de Resultados'!B5/Supuestos!$B$10,"n/a")</f>
        <v>2041.6666666666667</v>
      </c>
      <c r="C24" s="24">
        <f>IFERROR('Cuenta de Resultados'!C5/Supuestos!$B$10,"n/a")</f>
        <v>1605.3333333333333</v>
      </c>
      <c r="D24" s="25">
        <f>IFERROR(C24-B24,"n/a")</f>
        <v>-436.3333333333335</v>
      </c>
      <c r="E24" s="18">
        <f>IFERROR(C24/B24-1,"n/a")</f>
        <v>-0.21371428571428575</v>
      </c>
      <c r="F24" s="23" t="inlineStr">
        <is>
          <t>Productividad individual: −21,4% con el mismo equipo.</t>
        </is>
      </c>
    </row>
    <row r="25">
      <c r="A25" s="4" t="inlineStr">
        <is>
          <t>Licencias vendidas por comercial</t>
        </is>
      </c>
      <c r="B25" s="27">
        <f>IFERROR(B15/Supuestos!$B$10,"n/a")</f>
        <v>10.208333333333334</v>
      </c>
      <c r="C25" s="27">
        <f>IFERROR(C15/Supuestos!$B$10,"n/a")</f>
        <v>8.026666666666666</v>
      </c>
      <c r="D25" s="26">
        <f>IFERROR(C25-B25,"n/a")</f>
        <v>-2.1816666666666684</v>
      </c>
      <c r="E25" s="18">
        <f>IFERROR(C25/B25-1,"n/a")</f>
        <v>-0.21371428571428586</v>
      </c>
      <c r="F25" s="23" t="inlineStr">
        <is>
          <t>De ~10 a ~8 licencias por comercial y año.</t>
        </is>
      </c>
    </row>
    <row r="26">
      <c r="A26" s="4" t="inlineStr">
        <is>
          <t>Demos gestionadas por comercial</t>
        </is>
      </c>
      <c r="B26" s="24">
        <f>IFERROR(B16/Supuestos!$B$10,"n/a")</f>
        <v>13.861111111111112</v>
      </c>
      <c r="C26" s="24">
        <f>IFERROR(C16/Supuestos!$B$10,"n/a")</f>
        <v>15.597222222222221</v>
      </c>
      <c r="D26" s="25">
        <f>IFERROR(C26-B26,"n/a")</f>
        <v>1.736111111111109</v>
      </c>
      <c r="E26" s="18">
        <f>IFERROR(C26/B26-1,"n/a")</f>
        <v>0.12525050100200374</v>
      </c>
      <c r="F26" s="23" t="inlineStr">
        <is>
          <t>Más esfuerzo de demo por comercial y peor resultado.</t>
        </is>
      </c>
    </row>
    <row r="27">
      <c r="A27" s="22" t="inlineStr">
        <is>
          <t>D.  PUNTO MUERTO DE UNA DEMO (¿cuándo compensa autorizarla?)</t>
        </is>
      </c>
      <c r="B27" s="22" t="n"/>
      <c r="C27" s="22" t="n"/>
      <c r="D27" s="22" t="n"/>
      <c r="E27" s="22" t="n"/>
      <c r="F27" s="22" t="n"/>
    </row>
    <row r="28">
      <c r="A28" s="4" t="inlineStr">
        <is>
          <t>Margen bruto de una licencia — año 1 (miles €)</t>
        </is>
      </c>
      <c r="B28" s="24">
        <f>Supuestos!$B$5*B6</f>
        <v>149.6326530612245</v>
      </c>
      <c r="C28" s="24">
        <f>Supuestos!$B$5*C6</f>
        <v>148.02740863787375</v>
      </c>
      <c r="D28" s="25">
        <f>IFERROR(C28-B28,"n/a")</f>
        <v>-1.6052444233507401</v>
      </c>
      <c r="E28" s="18">
        <f>IFERROR(C28/B28-1,"n/a")</f>
        <v>-0.01072790190182571</v>
      </c>
      <c r="F28" s="23" t="inlineStr">
        <is>
          <t>Precio medio de 200 k€ × margen bruto del ejercicio.</t>
        </is>
      </c>
    </row>
    <row r="29">
      <c r="A29" s="4" t="inlineStr">
        <is>
          <t>Margen bruto del ciclo de vida — 5 años (miles €)</t>
        </is>
      </c>
      <c r="B29" s="24">
        <f>B28*Supuestos!$B$9</f>
        <v>748.1632653061224</v>
      </c>
      <c r="C29" s="24">
        <f>C28*Supuestos!$B$9</f>
        <v>740.1370431893688</v>
      </c>
      <c r="D29" s="25">
        <f>IFERROR(C29-B29,"n/a")</f>
        <v>-8.026222116753615</v>
      </c>
      <c r="E29" s="18">
        <f>IFERROR(C29/B29-1,"n/a")</f>
        <v>-0.010727901901825598</v>
      </c>
      <c r="F29" s="23" t="inlineStr">
        <is>
          <t>Margen anual × permanencia media de 5 años (nota 5 del caso).</t>
        </is>
      </c>
    </row>
    <row r="30">
      <c r="A30" s="4" t="inlineStr">
        <is>
          <t>Probabilidad mínima de cierre para rentabilizar la demo — 1 año (%)</t>
        </is>
      </c>
      <c r="B30" s="28">
        <f>IFERROR(Supuestos!$B$8/B28,"n/a")</f>
        <v>0.08019639934533551</v>
      </c>
      <c r="C30" s="28">
        <f>IFERROR(Supuestos!$B$8/C28,"n/a")</f>
        <v>0.08106606817225417</v>
      </c>
      <c r="D30" s="19">
        <f>IFERROR((C30-B30)*100,"n/a")</f>
        <v>0.08696688269186625</v>
      </c>
      <c r="E30" s="18">
        <f>IFERROR(C30/B30-1,"n/a")</f>
        <v>0.010844237821373559</v>
      </c>
      <c r="F30" s="23" t="inlineStr">
        <is>
          <t>Coste de la demo (12 k€) / margen bruto del primer año.</t>
        </is>
      </c>
    </row>
    <row r="31">
      <c r="A31" s="4" t="inlineStr">
        <is>
          <t>Probabilidad mínima de cierre para rentabilizar la demo — 5 años (%)</t>
        </is>
      </c>
      <c r="B31" s="28">
        <f>IFERROR(Supuestos!$B$8/B29,"n/a")</f>
        <v>0.016039279869067103</v>
      </c>
      <c r="C31" s="28">
        <f>IFERROR(Supuestos!$B$8/C29,"n/a")</f>
        <v>0.016213213634450833</v>
      </c>
      <c r="D31" s="19">
        <f>IFERROR((C31-B31)*100,"n/a")</f>
        <v>0.017393376538372973</v>
      </c>
      <c r="E31" s="18">
        <f>IFERROR(C31/B31-1,"n/a")</f>
        <v>0.010844237821373337</v>
      </c>
      <c r="F31" s="23" t="inlineStr">
        <is>
          <t>Umbral bajísimo: el coste de la demo NO es el verdadero problema.</t>
        </is>
      </c>
    </row>
    <row r="32">
      <c r="A32" s="4" t="inlineStr">
        <is>
          <t>Riesgo económico asumido por el comercial en una demo (miles €)</t>
        </is>
      </c>
      <c r="B32" s="27">
        <f>Supuestos!$B$8*Supuestos!$B$13</f>
        <v>0.6000000000000001</v>
      </c>
      <c r="C32" s="27">
        <f>Supuestos!$B$8*Supuestos!$B$13</f>
        <v>0.6000000000000001</v>
      </c>
      <c r="D32" s="26">
        <f>IFERROR(C32-B32,"n/a")</f>
        <v>0.0</v>
      </c>
      <c r="E32" s="18">
        <f>IFERROR(C32/B32-1,"n/a")</f>
        <v>0.0</v>
      </c>
      <c r="F32" s="23" t="inlineStr">
        <is>
          <t>Solo 600 € (5% de 12.000 €): pedir una demo casi no le cuesta nada.</t>
        </is>
      </c>
    </row>
    <row r="33">
      <c r="A33" s="4" t="inlineStr">
        <is>
          <t>Riesgo económico asumido por la empresa en una demo (miles €)</t>
        </is>
      </c>
      <c r="B33" s="27">
        <f>Supuestos!$B$8*(1-Supuestos!$B$13)</f>
        <v>11.399999999999999</v>
      </c>
      <c r="C33" s="27">
        <f>Supuestos!$B$8*(1-Supuestos!$B$13)</f>
        <v>11.399999999999999</v>
      </c>
      <c r="D33" s="26">
        <f>IFERROR(C33-B33,"n/a")</f>
        <v>0.0</v>
      </c>
      <c r="E33" s="18">
        <f>IFERROR(C33/B33-1,"n/a")</f>
        <v>0.0</v>
      </c>
      <c r="F33" s="23" t="inlineStr">
        <is>
          <t>11.400 € (95%): el incentivo está claramente desalineado.</t>
        </is>
      </c>
    </row>
    <row r="35">
      <c r="A35" s="20" t="inlineStr">
        <is>
          <t>CONCLUSIONES DEL ANÁLISIS CUANTITATIVO</t>
        </is>
      </c>
    </row>
    <row r="36" ht="28" customHeight="1">
      <c r="A36" s="21" t="inlineStr">
        <is>
          <t>1.  El margen bruto se mantiene estable en el ~74%: el deterioro de 2020 no procede del producto, del coste de servicio ni del precio, sino del proceso comercial.</t>
        </is>
      </c>
    </row>
    <row r="37" ht="28" customHeight="1">
      <c r="A37" s="21" t="inlineStr">
        <is>
          <t>2.  Las ventas caen un 21,4% y el beneficio antes de impuestos un 73,5%: el apalancamiento operativo amplifica el problema porque los costes comerciales son casi fijos.</t>
        </is>
      </c>
    </row>
    <row r="38" ht="28" customHeight="1">
      <c r="A38" s="21" t="inlineStr">
        <is>
          <t>3.  Se entregaron más demos (~94 frente a ~83) y se vendieron menos licencias (~48 frente a ~61): la demo dejó de acompañar a la venta y pasó a sustituirla.</t>
        </is>
      </c>
    </row>
    <row r="39" ht="28" customHeight="1">
      <c r="A39" s="21" t="inlineStr">
        <is>
          <t>4.  La tasa de conversión demo → licencia cae del ~74% al ~51% (−22 p.p.): es el indicador que resume el problema del caso.</t>
        </is>
      </c>
    </row>
    <row r="40" ht="28" customHeight="1">
      <c r="A40" s="21" t="inlineStr">
        <is>
          <t>5.  Pero el punto muerto de una demo es solo el 8,1% de probabilidad de cierre a un año (1,6% a cinco años): recortar demos para ahorrar dinero sería un error de diagnóstico.</t>
        </is>
      </c>
    </row>
    <row r="41" ht="28" customHeight="1">
      <c r="A41" s="21" t="inlineStr">
        <is>
          <t>6.  El recurso escaso no son los 12.000 € de la demo, sino el tiempo de 6 comerciales en ciclos de 6-9 meses. Y quien decide pedirla arriesga 600 € mientras la empresa arriesga 11.400 €.</t>
        </is>
      </c>
    </row>
    <row r="42" ht="28" customHeight="1">
      <c r="A42" s="21" t="inlineStr">
        <is>
          <t>7.  Conclusión: el problema no es CUÁNTAS demos se dan, sino CUÁNDO se dan y con qué filtro de cualificación previa.</t>
        </is>
      </c>
    </row>
  </sheetData>
  <mergeCells count="8">
    <mergeCell ref="A38:F38"/>
    <mergeCell ref="A41:F41"/>
    <mergeCell ref="A42:F42"/>
    <mergeCell ref="A36:F36"/>
    <mergeCell ref="A37:F37"/>
    <mergeCell ref="A40:F40"/>
    <mergeCell ref="A35:F35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2026-09-06T10:39:58Z</dcterms:created>
  <dcterms:modified xsi:type="dcterms:W3CDTF">2026-09-06T10:39:58Z</dcterms:modified>
</cp:coreProperties>
</file>